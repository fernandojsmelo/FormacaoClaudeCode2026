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 Hote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<sst xmlns="http://schemas.openxmlformats.org/spreadsheetml/2006/main" count="33" uniqueCount="22">
  <si>
    <t xml:space="preserve">Comparativo de Hoteis - Ferias Setembro 2026</t>
  </si>
  <si>
    <t xml:space="preserve">Check-in 01/09/2026 | Check-out 11/09/2026 | 10 noites | 2 adultos</t>
  </si>
  <si>
    <t xml:space="preserve">Cidade</t>
  </si>
  <si>
    <t xml:space="preserve">Hotel</t>
  </si>
  <si>
    <t xml:space="preserve">Categoria (estrelas)</t>
  </si>
  <si>
    <t xml:space="preserve">Diaria (R$)</t>
  </si>
  <si>
    <t xml:space="preserve">Total 10 noites (R$)</t>
  </si>
  <si>
    <t xml:space="preserve">Nota avaliacao</t>
  </si>
  <si>
    <t xml:space="preserve">Florianopolis</t>
  </si>
  <si>
    <t xml:space="preserve">Rio Branco Apart Hotel</t>
  </si>
  <si>
    <t xml:space="preserve">3 estrelas</t>
  </si>
  <si>
    <t xml:space="preserve">Hotel Evora By Rede Sagres</t>
  </si>
  <si>
    <t xml:space="preserve">Blue Tree Premium Florianopolis</t>
  </si>
  <si>
    <t xml:space="preserve">4 estrelas</t>
  </si>
  <si>
    <t xml:space="preserve">Curitiba</t>
  </si>
  <si>
    <t xml:space="preserve">Bristol Metropolitan Curitiba Centro</t>
  </si>
  <si>
    <t xml:space="preserve">Slaviero Curitiba Centro</t>
  </si>
  <si>
    <t xml:space="preserve">Mabu Curitiba Business</t>
  </si>
  <si>
    <t xml:space="preserve">Resumo por cidade</t>
  </si>
  <si>
    <t xml:space="preserve">Diaria media (R$)</t>
  </si>
  <si>
    <t xml:space="preserve">Total medio 10 noites (R$)</t>
  </si>
  <si>
    <t xml:space="preserve">Nota media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</si>
</sst>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&quot;#,##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Diaria por Hotel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'Comparativo Hoteis'!D4</c:f>
              <c:strCache>
                <c:ptCount val="1"/>
                <c:pt idx="0">
                  <c:v>Diaria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'Comparativo Hoteis'!$B$5:$B$10</c:f>
              <c:strCache>
                <c:ptCount val="6"/>
                <c:pt idx="0">
                  <c:v>Rio Branco Apart Hotel</c:v>
                </c:pt>
                <c:pt idx="1">
                  <c:v>Hotel Evora By Rede Sagres</c:v>
                </c:pt>
                <c:pt idx="2">
                  <c:v>Blue Tree Premium Florianopolis</c:v>
                </c:pt>
                <c:pt idx="3">
                  <c:v>Bristol Metropolitan Curitiba Centro</c:v>
                </c:pt>
                <c:pt idx="4">
                  <c:v>Slaviero Curitiba Centro</c:v>
                </c:pt>
                <c:pt idx="5">
                  <c:v>Mabu Curitiba Business</c:v>
                </c:pt>
              </c:strCache>
            </c:strRef>
          </c:cat>
          <c:val>
            <c:numRef>
              <c:f>'Comparativo Hoteis'!$D$5:$D$10</c:f>
              <c:numCache>
                <c:formatCode>"R$"#,##0</c:formatCode>
                <c:ptCount val="6"/>
                <c:pt idx="0">
                  <c:v>269</c:v>
                </c:pt>
                <c:pt idx="1">
                  <c:v>377</c:v>
                </c:pt>
                <c:pt idx="2">
                  <c:v>668</c:v>
                </c:pt>
                <c:pt idx="3">
                  <c:v>294</c:v>
                </c:pt>
                <c:pt idx="4">
                  <c:v>456</c:v>
                </c:pt>
                <c:pt idx="5">
                  <c:v>528</c:v>
                </c:pt>
              </c:numCache>
            </c:numRef>
          </c:val>
        </c:ser>
        <c:gapWidth val="150"/>
        <c:overlap val="0"/>
        <c:axId val="46946013"/>
        <c:axId val="71111507"/>
      </c:barChart>
      <c:catAx>
        <c:axId val="469460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Hotel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11507"/>
        <c:crosses val="autoZero"/>
        <c:auto val="1"/>
        <c:lblAlgn val="ctr"/>
        <c:lblOffset val="100"/>
        <c:noMultiLvlLbl val="0"/>
      </c:catAx>
      <c:valAx>
        <c:axId val="71111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 por noite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460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Nota de Avaliacao por Hotel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'Comparativo Hoteis'!F4</c:f>
              <c:strCache>
                <c:ptCount val="1"/>
                <c:pt idx="0">
                  <c:v>Nota avaliacao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'Comparativo Hoteis'!$B$5:$B$10</c:f>
              <c:strCache>
                <c:ptCount val="6"/>
                <c:pt idx="0">
                  <c:v>Rio Branco Apart Hotel</c:v>
                </c:pt>
                <c:pt idx="1">
                  <c:v>Hotel Evora By Rede Sagres</c:v>
                </c:pt>
                <c:pt idx="2">
                  <c:v>Blue Tree Premium Florianopolis</c:v>
                </c:pt>
                <c:pt idx="3">
                  <c:v>Bristol Metropolitan Curitiba Centro</c:v>
                </c:pt>
                <c:pt idx="4">
                  <c:v>Slaviero Curitiba Centro</c:v>
                </c:pt>
                <c:pt idx="5">
                  <c:v>Mabu Curitiba Business</c:v>
                </c:pt>
              </c:strCache>
            </c:strRef>
          </c:cat>
          <c:val>
            <c:numRef>
              <c:f>'Comparativo Hoteis'!$F$5:$F$10</c:f>
              <c:numCache>
                <c:formatCode>0.0</c:formatCode>
                <c:ptCount val="6"/>
                <c:pt idx="0">
                  <c:v>7.7</c:v>
                </c:pt>
                <c:pt idx="1">
                  <c:v>8.8</c:v>
                </c:pt>
                <c:pt idx="2">
                  <c:v>8.9</c:v>
                </c:pt>
                <c:pt idx="3">
                  <c:v>8.1</c:v>
                </c:pt>
                <c:pt idx="4">
                  <c:v>8.7</c:v>
                </c:pt>
                <c:pt idx="5">
                  <c:v>8.6</c:v>
                </c:pt>
              </c:numCache>
            </c:numRef>
          </c:val>
        </c:ser>
        <c:gapWidth val="150"/>
        <c:overlap val="0"/>
        <c:axId val="49285854"/>
        <c:axId val="8590244"/>
      </c:barChart>
      <c:catAx>
        <c:axId val="492858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Hotel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0244"/>
        <c:crosses val="autoZero"/>
        <c:auto val="1"/>
        <c:lblAlgn val="ctr"/>
        <c:lblOffset val="100"/>
        <c:noMultiLvlLbl val="0"/>
      </c:catAx>
      <c:valAx>
        <c:axId val="8590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Nota (0-10)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85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Diaria Media por Cidade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'Comparativo Hoteis'!B13</c:f>
              <c:strCache>
                <c:ptCount val="1"/>
                <c:pt idx="0">
                  <c:v>Diaria media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'Comparativo Hoteis'!$A$14:$A$15</c:f>
              <c:strCache>
                <c:ptCount val="2"/>
                <c:pt idx="0">
                  <c:v>Florianopolis</c:v>
                </c:pt>
                <c:pt idx="1">
                  <c:v>Curitiba</c:v>
                </c:pt>
              </c:strCache>
            </c:strRef>
          </c:cat>
          <c:val>
            <c:numRef>
              <c:f>'Comparativo Hoteis'!$B$14:$B$15</c:f>
              <c:numCache>
                <c:formatCode>"R$"#,##0</c:formatCode>
                <c:ptCount val="2"/>
                <c:pt idx="0">
                  <c:v>438</c:v>
                </c:pt>
                <c:pt idx="1">
                  <c:v>426</c:v>
                </c:pt>
              </c:numCache>
            </c:numRef>
          </c:val>
        </c:ser>
        <c:gapWidth val="150"/>
        <c:overlap val="0"/>
        <c:axId val="86684742"/>
        <c:axId val="55062828"/>
      </c:barChart>
      <c:catAx>
        <c:axId val="866847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62828"/>
        <c:crosses val="autoZero"/>
        <c:auto val="1"/>
        <c:lblAlgn val="ctr"/>
        <c:lblOffset val="100"/>
        <c:noMultiLvlLbl val="0"/>
      </c:catAx>
      <c:valAx>
        <c:axId val="550628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 por noite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847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364680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892872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160920</xdr:rowOff>
    </xdr:from>
    <xdr:to>
      <xdr:col>17</xdr:col>
      <xdr:colOff>364680</xdr:colOff>
      <xdr:row>37</xdr:row>
      <xdr:rowOff>162000</xdr:rowOff>
    </xdr:to>
    <xdr:graphicFrame>
      <xdr:nvGraphicFramePr>
        <xdr:cNvPr id="1" name="Chart 2"/>
        <xdr:cNvGraphicFramePr/>
      </xdr:nvGraphicFramePr>
      <xdr:xfrm>
        <a:off x="892872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38</xdr:row>
      <xdr:rowOff>160920</xdr:rowOff>
    </xdr:from>
    <xdr:to>
      <xdr:col>17</xdr:col>
      <xdr:colOff>364680</xdr:colOff>
      <xdr:row>55</xdr:row>
      <xdr:rowOff>162000</xdr:rowOff>
    </xdr:to>
    <xdr:graphicFrame>
      <xdr:nvGraphicFramePr>
        <xdr:cNvPr id="2" name="Chart 3"/>
        <xdr:cNvGraphicFramePr/>
      </xdr:nvGraphicFramePr>
      <xdr:xfrm>
        <a:off x="8928720" y="7429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5" t="n">
        <v>269</v>
      </c>
      <c r="E5" s="5" t="n">
        <f aca="false">D5*10</f>
        <v>2690</v>
      </c>
      <c r="F5" s="6" t="n">
        <v>7.7</v>
      </c>
    </row>
    <row r="6" customFormat="false" ht="15" hidden="false" customHeight="false" outlineLevel="0" collapsed="false">
      <c r="A6" s="4" t="s">
        <v>8</v>
      </c>
      <c r="B6" s="4" t="s">
        <v>11</v>
      </c>
      <c r="C6" s="4" t="s">
        <v>10</v>
      </c>
      <c r="D6" s="5" t="n">
        <v>377</v>
      </c>
      <c r="E6" s="5" t="n">
        <f aca="false">D6*10</f>
        <v>3770</v>
      </c>
      <c r="F6" s="6" t="n">
        <v>8.8</v>
      </c>
    </row>
    <row r="7" customFormat="false" ht="15" hidden="false" customHeight="false" outlineLevel="0" collapsed="false">
      <c r="A7" s="4" t="s">
        <v>8</v>
      </c>
      <c r="B7" s="4" t="s">
        <v>12</v>
      </c>
      <c r="C7" s="4" t="s">
        <v>13</v>
      </c>
      <c r="D7" s="5" t="n">
        <v>668</v>
      </c>
      <c r="E7" s="5" t="n">
        <f aca="false">D7*10</f>
        <v>6680</v>
      </c>
      <c r="F7" s="6" t="n">
        <v>8.9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10</v>
      </c>
      <c r="D8" s="5" t="n">
        <v>294</v>
      </c>
      <c r="E8" s="5" t="n">
        <f aca="false">D8*10</f>
        <v>2940</v>
      </c>
      <c r="F8" s="6" t="n">
        <v>8.1</v>
      </c>
    </row>
    <row r="9" customFormat="false" ht="15" hidden="false" customHeight="false" outlineLevel="0" collapsed="false">
      <c r="A9" s="4" t="s">
        <v>14</v>
      </c>
      <c r="B9" s="4" t="s">
        <v>16</v>
      </c>
      <c r="C9" s="4" t="s">
        <v>13</v>
      </c>
      <c r="D9" s="5" t="n">
        <v>456</v>
      </c>
      <c r="E9" s="5" t="n">
        <f aca="false">D9*10</f>
        <v>4560</v>
      </c>
      <c r="F9" s="6" t="n">
        <v>8.7</v>
      </c>
    </row>
    <row r="10" customFormat="false" ht="15" hidden="false" customHeight="false" outlineLevel="0" collapsed="false">
      <c r="A10" s="4" t="s">
        <v>14</v>
      </c>
      <c r="B10" s="4" t="s">
        <v>17</v>
      </c>
      <c r="C10" s="4" t="s">
        <v>13</v>
      </c>
      <c r="D10" s="5" t="n">
        <v>528</v>
      </c>
      <c r="E10" s="5" t="n">
        <f aca="false">D10*10</f>
        <v>5280</v>
      </c>
      <c r="F10" s="6" t="n">
        <v>8.6</v>
      </c>
    </row>
    <row r="12" customFormat="false" ht="15" hidden="false" customHeight="false" outlineLevel="0" collapsed="false">
      <c r="A12" s="7" t="s">
        <v>18</v>
      </c>
      <c r="B12" s="7"/>
      <c r="C12" s="7"/>
      <c r="D12" s="7"/>
      <c r="E12" s="7"/>
      <c r="F12" s="7"/>
    </row>
    <row r="13" customFormat="false" ht="15" hidden="false" customHeight="false" outlineLevel="0" collapsed="false">
      <c r="A13" s="8" t="s">
        <v>2</v>
      </c>
      <c r="B13" s="8" t="s">
        <v>19</v>
      </c>
      <c r="C13" s="8" t="s">
        <v>20</v>
      </c>
      <c r="D13" s="8" t="s">
        <v>21</v>
      </c>
    </row>
    <row r="14" customFormat="false" ht="15" hidden="false" customHeight="false" outlineLevel="0" collapsed="false">
      <c r="A14" s="4" t="s">
        <v>8</v>
      </c>
      <c r="B14" s="5" t="n">
        <f aca="false">AVERAGEIF(A5:A10,A14,D5:D10)</f>
        <v>438</v>
      </c>
      <c r="C14" s="5" t="n">
        <f aca="false">AVERAGEIF(A5:A10,A14,E5:E10)</f>
        <v>4380</v>
      </c>
      <c r="D14" s="6" t="n">
        <f aca="false">AVERAGEIF(A5:A10,A14,F5:F10)</f>
        <v>8.46666666666667</v>
      </c>
    </row>
    <row r="15" customFormat="false" ht="15" hidden="false" customHeight="false" outlineLevel="0" collapsed="false">
      <c r="A15" s="4" t="s">
        <v>14</v>
      </c>
      <c r="B15" s="5" t="n">
        <f aca="false">AVERAGEIF(A5:A10,A15,D5:D10)</f>
        <v>426</v>
      </c>
      <c r="C15" s="5" t="n">
        <f aca="false">AVERAGEIF(A5:A10,A15,E5:E10)</f>
        <v>4260</v>
      </c>
      <c r="D15" s="6" t="n">
        <f aca="false">AVERAGEIF(A5:A10,A15,F5:F10)</f>
        <v>8.46666666666667</v>
      </c>
    </row>
  </sheetData>
  <mergeCells count="3">
    <mergeCell ref="A1:F1"/>
    <mergeCell ref="A2:F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2026-08-25T18:14:51Z</dcterms:created>
  <dc:creator>openpyxl</dc:creator>
  <dc:description/>
  <dc:language>en-US</dc:language>
  <cp:lastModifiedBy/>
  <dcterms:modified xsi:type="dcterms:W3CDTF">2026-08-25T18:14:57Z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