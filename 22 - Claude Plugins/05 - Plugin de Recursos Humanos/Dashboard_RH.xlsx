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RH" sheetId="1" state="visible" r:id="rId1"/>
    <sheet xmlns:r="http://schemas.openxmlformats.org/officeDocument/2006/relationships" name="Pipeline Recrutamento" sheetId="2" state="visible" r:id="rId2"/>
    <sheet xmlns:r="http://schemas.openxmlformats.org/officeDocument/2006/relationships" name="Avaliação Desempenho" sheetId="3" state="visible" r:id="rId3"/>
    <sheet xmlns:r="http://schemas.openxmlformats.org/officeDocument/2006/relationships" name="Remuneração" sheetId="4" state="visible" r:id="rId4"/>
    <sheet xmlns:r="http://schemas.openxmlformats.org/officeDocument/2006/relationships" name="Headcount Mensal" sheetId="5" state="visible" r:id="rId5"/>
    <sheet xmlns:r="http://schemas.openxmlformats.org/officeDocument/2006/relationships" name="Indicadores R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"/>
  </numFmts>
  <fonts count="15">
    <font>
      <name val="Calibri"/>
      <family val="2"/>
      <color theme="1"/>
      <sz val="11"/>
      <scheme val="minor"/>
    </font>
    <font>
      <name val="Trebuchet MS"/>
      <b val="1"/>
      <color rgb="00FFFFFF"/>
      <sz val="16"/>
    </font>
    <font>
      <name val="Calibri"/>
      <color rgb="00FFFFFF"/>
      <sz val="10"/>
    </font>
    <font>
      <name val="Calibri"/>
      <b val="1"/>
      <color rgb="001A2332"/>
      <sz val="10"/>
    </font>
    <font>
      <name val="Trebuchet MS"/>
      <b val="1"/>
      <color rgb="00028090"/>
      <sz val="18"/>
    </font>
    <font>
      <name val="Trebuchet MS"/>
      <b val="1"/>
      <color rgb="001A2332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Trebuchet MS"/>
      <b val="1"/>
      <color rgb="00FFFFFF"/>
      <sz val="14"/>
    </font>
    <font>
      <name val="Calibri"/>
      <b val="1"/>
      <color rgb="00CC0000"/>
      <sz val="11"/>
    </font>
    <font>
      <name val="Calibri"/>
      <color rgb="00006600"/>
      <sz val="11"/>
    </font>
    <font>
      <name val="Trebuchet MS"/>
      <b val="1"/>
      <color rgb="00028090"/>
      <sz val="12"/>
    </font>
    <font>
      <name val="Calibri"/>
      <b val="1"/>
      <color rgb="00006600"/>
      <sz val="11"/>
    </font>
    <font>
      <name val="Calibri"/>
      <b val="1"/>
      <color rgb="00CC6600"/>
      <sz val="11"/>
    </font>
  </fonts>
  <fills count="5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028090"/>
      </patternFill>
    </fill>
    <fill>
      <patternFill patternType="solid">
        <fgColor rgb="00F0F7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4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9" fillId="2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1" fillId="4" borderId="1" applyAlignment="1" pivotButton="0" quotePrefix="0" xfId="0">
      <alignment vertical="center" wrapText="1"/>
    </xf>
    <xf numFmtId="0" fontId="8" fillId="0" borderId="0" pivotButton="0" quotePrefix="0" xfId="0"/>
    <xf numFmtId="0" fontId="12" fillId="0" borderId="0" pivotButton="0" quotePrefix="0" xfId="0"/>
    <xf numFmtId="3" fontId="7" fillId="0" borderId="1" applyAlignment="1" pivotButton="0" quotePrefix="0" xfId="0">
      <alignment vertical="center" wrapText="1"/>
    </xf>
    <xf numFmtId="164" fontId="7" fillId="0" borderId="1" applyAlignment="1" pivotButton="0" quotePrefix="0" xfId="0">
      <alignment vertical="center" wrapText="1"/>
    </xf>
    <xf numFmtId="3" fontId="7" fillId="4" borderId="1" applyAlignment="1" pivotButton="0" quotePrefix="0" xfId="0">
      <alignment vertical="center" wrapText="1"/>
    </xf>
    <xf numFmtId="164" fontId="7" fillId="4" borderId="1" applyAlignment="1" pivotButton="0" quotePrefix="0" xfId="0">
      <alignment vertical="center" wrapText="1"/>
    </xf>
    <xf numFmtId="165" fontId="12" fillId="0" borderId="0" pivotButton="0" quotePrefix="0" xfId="0"/>
    <xf numFmtId="0" fontId="13" fillId="0" borderId="1" applyAlignment="1" pivotButton="0" quotePrefix="0" xfId="0">
      <alignment vertical="center" wrapText="1"/>
    </xf>
    <xf numFmtId="0" fontId="13" fillId="4" borderId="1" applyAlignment="1" pivotButton="0" quotePrefix="0" xfId="0">
      <alignment vertical="center" wrapText="1"/>
    </xf>
    <xf numFmtId="0" fontId="14" fillId="4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Headcount: Atual vs Meta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RH'!B12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RH'!$A$13:$A$19</f>
            </numRef>
          </cat>
          <val>
            <numRef>
              <f>'Dashboard RH'!$B$13:$B$19</f>
            </numRef>
          </val>
        </ser>
        <ser>
          <idx val="1"/>
          <order val="1"/>
          <tx>
            <strRef>
              <f>'Dashboard RH'!C12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RH'!$A$13:$A$19</f>
            </numRef>
          </cat>
          <val>
            <numRef>
              <f>'Dashboard RH'!$C$13:$C$19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Colaboradores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28090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DASHBOARD DE RECURSOS HUMANOS</t>
        </is>
      </c>
    </row>
    <row r="2">
      <c r="A2" s="2" t="inlineStr">
        <is>
          <t>Indicadores-Chave | Atualização: Abril 2026</t>
        </is>
      </c>
    </row>
    <row r="4">
      <c r="A4" s="3" t="inlineStr">
        <is>
          <t>Total Colaboradores</t>
        </is>
      </c>
      <c r="B4" s="4" t="n"/>
      <c r="C4" s="3" t="inlineStr">
        <is>
          <t>Contratações no Mês</t>
        </is>
      </c>
      <c r="D4" s="4" t="n"/>
      <c r="E4" s="3" t="inlineStr">
        <is>
          <t>Desligamentos no Mês</t>
        </is>
      </c>
      <c r="F4" s="4" t="n"/>
      <c r="G4" s="3" t="inlineStr">
        <is>
          <t>Turnover (%)</t>
        </is>
      </c>
      <c r="H4" s="4" t="n"/>
    </row>
    <row r="5">
      <c r="A5" s="5" t="n">
        <v>150</v>
      </c>
      <c r="B5" s="6" t="n"/>
      <c r="C5" s="5" t="n">
        <v>5</v>
      </c>
      <c r="D5" s="6" t="n"/>
      <c r="E5" s="5" t="n">
        <v>2</v>
      </c>
      <c r="F5" s="6" t="n"/>
      <c r="G5" s="5" t="inlineStr">
        <is>
          <t>2.0%</t>
        </is>
      </c>
      <c r="H5" s="6" t="n"/>
    </row>
    <row r="7">
      <c r="A7" s="3" t="inlineStr">
        <is>
          <t>Vagas Abertas</t>
        </is>
      </c>
      <c r="B7" s="4" t="n"/>
      <c r="C7" s="3" t="inlineStr">
        <is>
          <t>Tempo Médio Contratação</t>
        </is>
      </c>
      <c r="D7" s="4" t="n"/>
      <c r="E7" s="3" t="inlineStr">
        <is>
          <t>Satisfação Onboarding</t>
        </is>
      </c>
      <c r="F7" s="4" t="n"/>
      <c r="G7" s="3" t="inlineStr">
        <is>
          <t>NPS Interno</t>
        </is>
      </c>
      <c r="H7" s="4" t="n"/>
    </row>
    <row r="8">
      <c r="A8" s="5" t="n">
        <v>8</v>
      </c>
      <c r="B8" s="6" t="n"/>
      <c r="C8" s="5" t="inlineStr">
        <is>
          <t>28 dias</t>
        </is>
      </c>
      <c r="D8" s="6" t="n"/>
      <c r="E8" s="5" t="inlineStr">
        <is>
          <t>92%</t>
        </is>
      </c>
      <c r="F8" s="6" t="n"/>
      <c r="G8" s="5" t="n">
        <v>72</v>
      </c>
      <c r="H8" s="6" t="n"/>
    </row>
    <row r="11">
      <c r="A11" s="7" t="inlineStr">
        <is>
          <t>Headcount por Departamento</t>
        </is>
      </c>
    </row>
    <row r="12">
      <c r="A12" s="8" t="inlineStr">
        <is>
          <t>Departamento</t>
        </is>
      </c>
      <c r="B12" s="8" t="inlineStr">
        <is>
          <t>Atual</t>
        </is>
      </c>
      <c r="C12" s="8" t="inlineStr">
        <is>
          <t>Meta</t>
        </is>
      </c>
    </row>
    <row r="13">
      <c r="A13" s="9" t="inlineStr">
        <is>
          <t>RH</t>
        </is>
      </c>
      <c r="B13" s="9" t="n">
        <v>8</v>
      </c>
      <c r="C13" s="9" t="n">
        <v>10</v>
      </c>
    </row>
    <row r="14">
      <c r="A14" s="10" t="inlineStr">
        <is>
          <t>Financeiro</t>
        </is>
      </c>
      <c r="B14" s="10" t="n">
        <v>12</v>
      </c>
      <c r="C14" s="10" t="n">
        <v>14</v>
      </c>
    </row>
    <row r="15">
      <c r="A15" s="9" t="inlineStr">
        <is>
          <t>Comercial</t>
        </is>
      </c>
      <c r="B15" s="9" t="n">
        <v>25</v>
      </c>
      <c r="C15" s="9" t="n">
        <v>32</v>
      </c>
    </row>
    <row r="16">
      <c r="A16" s="10" t="inlineStr">
        <is>
          <t>Tecnologia</t>
        </is>
      </c>
      <c r="B16" s="10" t="n">
        <v>35</v>
      </c>
      <c r="C16" s="10" t="n">
        <v>50</v>
      </c>
    </row>
    <row r="17">
      <c r="A17" s="9" t="inlineStr">
        <is>
          <t>Operações</t>
        </is>
      </c>
      <c r="B17" s="9" t="n">
        <v>20</v>
      </c>
      <c r="C17" s="9" t="n">
        <v>25</v>
      </c>
    </row>
    <row r="18">
      <c r="A18" s="10" t="inlineStr">
        <is>
          <t>Marketing</t>
        </is>
      </c>
      <c r="B18" s="10" t="n">
        <v>15</v>
      </c>
      <c r="C18" s="10" t="n">
        <v>18</v>
      </c>
    </row>
    <row r="19">
      <c r="A19" s="9" t="inlineStr">
        <is>
          <t>Jurídico</t>
        </is>
      </c>
      <c r="B19" s="9" t="n">
        <v>5</v>
      </c>
      <c r="C19" s="9" t="n">
        <v>6</v>
      </c>
    </row>
    <row r="20">
      <c r="A20" s="11" t="inlineStr">
        <is>
          <t>TOTAL</t>
        </is>
      </c>
      <c r="B20" s="11">
        <f>SUM(B13:B19)</f>
        <v/>
      </c>
      <c r="C20" s="11">
        <f>SUM(C13:C19)</f>
        <v/>
      </c>
    </row>
  </sheetData>
  <mergeCells count="18">
    <mergeCell ref="A4:B4"/>
    <mergeCell ref="G4:H4"/>
    <mergeCell ref="E4:F4"/>
    <mergeCell ref="C7:D7"/>
    <mergeCell ref="A7:B7"/>
    <mergeCell ref="G7:H7"/>
    <mergeCell ref="E7:F7"/>
    <mergeCell ref="A2:H2"/>
    <mergeCell ref="C5:D5"/>
    <mergeCell ref="A5:B5"/>
    <mergeCell ref="G5:H5"/>
    <mergeCell ref="E5:F5"/>
    <mergeCell ref="A1:H1"/>
    <mergeCell ref="G8:H8"/>
    <mergeCell ref="A8:B8"/>
    <mergeCell ref="E8:F8"/>
    <mergeCell ref="C8:D8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2C39A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5" customHeight="1">
      <c r="A1" s="12" t="inlineStr">
        <is>
          <t>PIPELINE DE RECRUTAMENTO E SELEÇÃO</t>
        </is>
      </c>
    </row>
    <row r="3">
      <c r="A3" s="8" t="inlineStr">
        <is>
          <t>Vaga</t>
        </is>
      </c>
      <c r="B3" s="8" t="inlineStr">
        <is>
          <t>Departamento</t>
        </is>
      </c>
      <c r="C3" s="8" t="inlineStr">
        <is>
          <t>Prioridade</t>
        </is>
      </c>
      <c r="D3" s="8" t="inlineStr">
        <is>
          <t>Fase</t>
        </is>
      </c>
      <c r="E3" s="8" t="inlineStr">
        <is>
          <t>Candidatos</t>
        </is>
      </c>
      <c r="F3" s="8" t="inlineStr">
        <is>
          <t>Responsável</t>
        </is>
      </c>
      <c r="G3" s="8" t="inlineStr">
        <is>
          <t>Data Abertura</t>
        </is>
      </c>
      <c r="H3" s="8" t="inlineStr">
        <is>
          <t>SLA (dias)</t>
        </is>
      </c>
    </row>
    <row r="4">
      <c r="A4" s="9" t="inlineStr">
        <is>
          <t>Analista de Dados Sr.</t>
        </is>
      </c>
      <c r="B4" s="9" t="inlineStr">
        <is>
          <t>Tecnologia</t>
        </is>
      </c>
      <c r="C4" s="13" t="inlineStr">
        <is>
          <t>Alta</t>
        </is>
      </c>
      <c r="D4" s="9" t="inlineStr">
        <is>
          <t>Entrevista Final</t>
        </is>
      </c>
      <c r="E4" s="9" t="n">
        <v>3</v>
      </c>
      <c r="F4" s="9" t="inlineStr">
        <is>
          <t>Maria Silva</t>
        </is>
      </c>
      <c r="G4" s="9" t="inlineStr">
        <is>
          <t>01/03/2026</t>
        </is>
      </c>
      <c r="H4" s="9" t="n">
        <v>30</v>
      </c>
    </row>
    <row r="5">
      <c r="A5" s="10" t="inlineStr">
        <is>
          <t>Dev Full Stack Pl.</t>
        </is>
      </c>
      <c r="B5" s="10" t="inlineStr">
        <is>
          <t>Tecnologia</t>
        </is>
      </c>
      <c r="C5" s="14" t="inlineStr">
        <is>
          <t>Alta</t>
        </is>
      </c>
      <c r="D5" s="10" t="inlineStr">
        <is>
          <t>Triagem</t>
        </is>
      </c>
      <c r="E5" s="10" t="n">
        <v>45</v>
      </c>
      <c r="F5" s="10" t="inlineStr">
        <is>
          <t>Maria Silva</t>
        </is>
      </c>
      <c r="G5" s="10" t="inlineStr">
        <is>
          <t>15/03/2026</t>
        </is>
      </c>
      <c r="H5" s="10" t="n">
        <v>30</v>
      </c>
    </row>
    <row r="6">
      <c r="A6" s="9" t="inlineStr">
        <is>
          <t>Analista Financeiro Jr.</t>
        </is>
      </c>
      <c r="B6" s="9" t="inlineStr">
        <is>
          <t>Financeiro</t>
        </is>
      </c>
      <c r="C6" s="9" t="inlineStr">
        <is>
          <t>Média</t>
        </is>
      </c>
      <c r="D6" s="9" t="inlineStr">
        <is>
          <t>Proposta</t>
        </is>
      </c>
      <c r="E6" s="9" t="n">
        <v>1</v>
      </c>
      <c r="F6" s="9" t="inlineStr">
        <is>
          <t>João Santos</t>
        </is>
      </c>
      <c r="G6" s="9" t="inlineStr">
        <is>
          <t>20/02/2026</t>
        </is>
      </c>
      <c r="H6" s="9" t="n">
        <v>25</v>
      </c>
    </row>
    <row r="7">
      <c r="A7" s="10" t="inlineStr">
        <is>
          <t>Coordenador Comercial</t>
        </is>
      </c>
      <c r="B7" s="10" t="inlineStr">
        <is>
          <t>Comercial</t>
        </is>
      </c>
      <c r="C7" s="14" t="inlineStr">
        <is>
          <t>Alta</t>
        </is>
      </c>
      <c r="D7" s="10" t="inlineStr">
        <is>
          <t>Entrevista Gestor</t>
        </is>
      </c>
      <c r="E7" s="10" t="n">
        <v>5</v>
      </c>
      <c r="F7" s="10" t="inlineStr">
        <is>
          <t>Ana Oliveira</t>
        </is>
      </c>
      <c r="G7" s="10" t="inlineStr">
        <is>
          <t>10/03/2026</t>
        </is>
      </c>
      <c r="H7" s="10" t="n">
        <v>35</v>
      </c>
    </row>
    <row r="8">
      <c r="A8" s="9" t="inlineStr">
        <is>
          <t>Designer UX/UI</t>
        </is>
      </c>
      <c r="B8" s="9" t="inlineStr">
        <is>
          <t>Marketing</t>
        </is>
      </c>
      <c r="C8" s="9" t="inlineStr">
        <is>
          <t>Média</t>
        </is>
      </c>
      <c r="D8" s="9" t="inlineStr">
        <is>
          <t>Teste Técnico</t>
        </is>
      </c>
      <c r="E8" s="9" t="n">
        <v>8</v>
      </c>
      <c r="F8" s="9" t="inlineStr">
        <is>
          <t>Maria Silva</t>
        </is>
      </c>
      <c r="G8" s="9" t="inlineStr">
        <is>
          <t>05/03/2026</t>
        </is>
      </c>
      <c r="H8" s="9" t="n">
        <v>28</v>
      </c>
    </row>
    <row r="9">
      <c r="A9" s="10" t="inlineStr">
        <is>
          <t>Estagiário RH</t>
        </is>
      </c>
      <c r="B9" s="10" t="inlineStr">
        <is>
          <t>RH</t>
        </is>
      </c>
      <c r="C9" s="15" t="inlineStr">
        <is>
          <t>Baixa</t>
        </is>
      </c>
      <c r="D9" s="10" t="inlineStr">
        <is>
          <t>Divulgação</t>
        </is>
      </c>
      <c r="E9" s="10" t="n">
        <v>0</v>
      </c>
      <c r="F9" s="10" t="inlineStr">
        <is>
          <t>Pedro Costa</t>
        </is>
      </c>
      <c r="G9" s="10" t="inlineStr">
        <is>
          <t>25/03/2026</t>
        </is>
      </c>
      <c r="H9" s="10" t="n">
        <v>20</v>
      </c>
    </row>
    <row r="10">
      <c r="A10" s="9" t="inlineStr">
        <is>
          <t>Gerente de Projetos</t>
        </is>
      </c>
      <c r="B10" s="9" t="inlineStr">
        <is>
          <t>Tecnologia</t>
        </is>
      </c>
      <c r="C10" s="13" t="inlineStr">
        <is>
          <t>Alta</t>
        </is>
      </c>
      <c r="D10" s="9" t="inlineStr">
        <is>
          <t>Requisição</t>
        </is>
      </c>
      <c r="E10" s="9" t="n">
        <v>0</v>
      </c>
      <c r="F10" s="9" t="inlineStr">
        <is>
          <t>Ana Oliveira</t>
        </is>
      </c>
      <c r="G10" s="9" t="inlineStr">
        <is>
          <t>01/04/2026</t>
        </is>
      </c>
      <c r="H10" s="9" t="n">
        <v>40</v>
      </c>
    </row>
    <row r="11">
      <c r="A11" s="10" t="inlineStr">
        <is>
          <t>Analista Jurídico Pl.</t>
        </is>
      </c>
      <c r="B11" s="10" t="inlineStr">
        <is>
          <t>Jurídico</t>
        </is>
      </c>
      <c r="C11" s="10" t="inlineStr">
        <is>
          <t>Média</t>
        </is>
      </c>
      <c r="D11" s="10" t="inlineStr">
        <is>
          <t>Entrevista RH</t>
        </is>
      </c>
      <c r="E11" s="10" t="n">
        <v>12</v>
      </c>
      <c r="F11" s="10" t="inlineStr">
        <is>
          <t>João Santos</t>
        </is>
      </c>
      <c r="G11" s="10" t="inlineStr">
        <is>
          <t>28/02/2026</t>
        </is>
      </c>
      <c r="H11" s="10" t="n">
        <v>30</v>
      </c>
    </row>
    <row r="14">
      <c r="A14" s="7" t="inlineStr">
        <is>
          <t>RESUMO DO PIPELINE</t>
        </is>
      </c>
    </row>
    <row r="15">
      <c r="A15" s="16" t="inlineStr">
        <is>
          <t>Total de Vagas Abertas</t>
        </is>
      </c>
      <c r="B15" s="17">
        <f>8</f>
        <v/>
      </c>
    </row>
    <row r="16">
      <c r="A16" s="16" t="inlineStr">
        <is>
          <t>Total de Candidatos em Processo</t>
        </is>
      </c>
      <c r="B16" s="17">
        <f>SUM(E4:E11)</f>
        <v/>
      </c>
    </row>
    <row r="17">
      <c r="A17" s="16" t="inlineStr">
        <is>
          <t>Vagas Alta Prioridade</t>
        </is>
      </c>
      <c r="B17" s="17">
        <f>COUNTIF(C4:C11,"Alta")</f>
        <v/>
      </c>
    </row>
    <row r="18">
      <c r="A18" s="16" t="inlineStr">
        <is>
          <t>Vagas em Fase Final (Proposta)</t>
        </is>
      </c>
      <c r="B18" s="17">
        <f>COUNTIF(D4:D11,"Proposta")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28090"/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5" customHeight="1">
      <c r="A1" s="12" t="inlineStr">
        <is>
          <t>AVALIAÇÃO DE DESEMPENHO | CICLO 2026</t>
        </is>
      </c>
    </row>
    <row r="3">
      <c r="A3" s="8" t="inlineStr">
        <is>
          <t>Colaborador</t>
        </is>
      </c>
      <c r="B3" s="8" t="inlineStr">
        <is>
          <t>Cargo</t>
        </is>
      </c>
      <c r="C3" s="8" t="inlineStr">
        <is>
          <t>Depto.</t>
        </is>
      </c>
      <c r="D3" s="8" t="inlineStr">
        <is>
          <t>Gestor</t>
        </is>
      </c>
      <c r="E3" s="8" t="inlineStr">
        <is>
          <t>Autoavaliação</t>
        </is>
      </c>
      <c r="F3" s="8" t="inlineStr">
        <is>
          <t>Avaliação Gestor</t>
        </is>
      </c>
      <c r="G3" s="8" t="inlineStr">
        <is>
          <t>Avaliação 360°</t>
        </is>
      </c>
      <c r="H3" s="8" t="inlineStr">
        <is>
          <t>Nota Final</t>
        </is>
      </c>
      <c r="I3" s="8" t="inlineStr">
        <is>
          <t>Classificação</t>
        </is>
      </c>
    </row>
    <row r="4">
      <c r="A4" s="9" t="inlineStr">
        <is>
          <t>Ana Rodrigues</t>
        </is>
      </c>
      <c r="B4" s="9" t="inlineStr">
        <is>
          <t>Analista Sr.</t>
        </is>
      </c>
      <c r="C4" s="9" t="inlineStr">
        <is>
          <t>Tecnologia</t>
        </is>
      </c>
      <c r="D4" s="9" t="inlineStr">
        <is>
          <t>Carlos Lima</t>
        </is>
      </c>
      <c r="E4" s="9" t="n">
        <v>4.2</v>
      </c>
      <c r="F4" s="9" t="n">
        <v>4.5</v>
      </c>
      <c r="G4" s="9" t="n">
        <v>4.3</v>
      </c>
      <c r="H4" s="9">
        <f>ROUND((E4*0.2+F4*0.4+G4*0.4),1)</f>
        <v/>
      </c>
      <c r="I4" s="9">
        <f>IF(H4&gt;=4.5,"Excede",IF(H4&gt;=4,"Atinge Pleno",IF(H4&gt;=3,"Atinge",IF(H4&gt;=2,"Em Desenvolvimento","Abaixo"))))</f>
        <v/>
      </c>
    </row>
    <row r="5">
      <c r="A5" s="10" t="inlineStr">
        <is>
          <t>Bruno Santos</t>
        </is>
      </c>
      <c r="B5" s="10" t="inlineStr">
        <is>
          <t>Coordenador</t>
        </is>
      </c>
      <c r="C5" s="10" t="inlineStr">
        <is>
          <t>Comercial</t>
        </is>
      </c>
      <c r="D5" s="10" t="inlineStr">
        <is>
          <t>Fernanda Alves</t>
        </is>
      </c>
      <c r="E5" s="10" t="n">
        <v>3.8</v>
      </c>
      <c r="F5" s="10" t="n">
        <v>4</v>
      </c>
      <c r="G5" s="10" t="n">
        <v>3.9</v>
      </c>
      <c r="H5" s="10">
        <f>ROUND((E5*0.2+F5*0.4+G5*0.4),1)</f>
        <v/>
      </c>
      <c r="I5" s="10">
        <f>IF(H5&gt;=4.5,"Excede",IF(H5&gt;=4,"Atinge Pleno",IF(H5&gt;=3,"Atinge",IF(H5&gt;=2,"Em Desenvolvimento","Abaixo"))))</f>
        <v/>
      </c>
    </row>
    <row r="6">
      <c r="A6" s="9" t="inlineStr">
        <is>
          <t>Carla Mendes</t>
        </is>
      </c>
      <c r="B6" s="9" t="inlineStr">
        <is>
          <t>Analista Pl.</t>
        </is>
      </c>
      <c r="C6" s="9" t="inlineStr">
        <is>
          <t>RH</t>
        </is>
      </c>
      <c r="D6" s="9" t="inlineStr">
        <is>
          <t>Patricia Souza</t>
        </is>
      </c>
      <c r="E6" s="9" t="n">
        <v>4.5</v>
      </c>
      <c r="F6" s="9" t="n">
        <v>4.3</v>
      </c>
      <c r="G6" s="9" t="n">
        <v>4.4</v>
      </c>
      <c r="H6" s="9">
        <f>ROUND((E6*0.2+F6*0.4+G6*0.4),1)</f>
        <v/>
      </c>
      <c r="I6" s="9">
        <f>IF(H6&gt;=4.5,"Excede",IF(H6&gt;=4,"Atinge Pleno",IF(H6&gt;=3,"Atinge",IF(H6&gt;=2,"Em Desenvolvimento","Abaixo"))))</f>
        <v/>
      </c>
    </row>
    <row r="7">
      <c r="A7" s="10" t="inlineStr">
        <is>
          <t>Diego Ferreira</t>
        </is>
      </c>
      <c r="B7" s="10" t="inlineStr">
        <is>
          <t>Desenvolvedor Jr.</t>
        </is>
      </c>
      <c r="C7" s="10" t="inlineStr">
        <is>
          <t>Tecnologia</t>
        </is>
      </c>
      <c r="D7" s="10" t="inlineStr">
        <is>
          <t>Carlos Lima</t>
        </is>
      </c>
      <c r="E7" s="10" t="n">
        <v>3.5</v>
      </c>
      <c r="F7" s="10" t="n">
        <v>3.2</v>
      </c>
      <c r="G7" s="10" t="n">
        <v>3.4</v>
      </c>
      <c r="H7" s="10">
        <f>ROUND((E7*0.2+F7*0.4+G7*0.4),1)</f>
        <v/>
      </c>
      <c r="I7" s="10">
        <f>IF(H7&gt;=4.5,"Excede",IF(H7&gt;=4,"Atinge Pleno",IF(H7&gt;=3,"Atinge",IF(H7&gt;=2,"Em Desenvolvimento","Abaixo"))))</f>
        <v/>
      </c>
    </row>
    <row r="8">
      <c r="A8" s="9" t="inlineStr">
        <is>
          <t>Elena Costa</t>
        </is>
      </c>
      <c r="B8" s="9" t="inlineStr">
        <is>
          <t>Gerente</t>
        </is>
      </c>
      <c r="C8" s="9" t="inlineStr">
        <is>
          <t>Marketing</t>
        </is>
      </c>
      <c r="D8" s="9" t="inlineStr">
        <is>
          <t>Diretor MKT</t>
        </is>
      </c>
      <c r="E8" s="9" t="n">
        <v>4.8</v>
      </c>
      <c r="F8" s="9" t="n">
        <v>4.7</v>
      </c>
      <c r="G8" s="9" t="n">
        <v>4.6</v>
      </c>
      <c r="H8" s="9">
        <f>ROUND((E8*0.2+F8*0.4+G8*0.4),1)</f>
        <v/>
      </c>
      <c r="I8" s="9">
        <f>IF(H8&gt;=4.5,"Excede",IF(H8&gt;=4,"Atinge Pleno",IF(H8&gt;=3,"Atinge",IF(H8&gt;=2,"Em Desenvolvimento","Abaixo"))))</f>
        <v/>
      </c>
    </row>
    <row r="9">
      <c r="A9" s="10" t="inlineStr">
        <is>
          <t>Felipe Oliveira</t>
        </is>
      </c>
      <c r="B9" s="10" t="inlineStr">
        <is>
          <t>Analista Jr.</t>
        </is>
      </c>
      <c r="C9" s="10" t="inlineStr">
        <is>
          <t>Financeiro</t>
        </is>
      </c>
      <c r="D9" s="10" t="inlineStr">
        <is>
          <t>Roberto Dias</t>
        </is>
      </c>
      <c r="E9" s="10" t="n">
        <v>3</v>
      </c>
      <c r="F9" s="10" t="n">
        <v>2.8</v>
      </c>
      <c r="G9" s="10" t="n">
        <v>3.1</v>
      </c>
      <c r="H9" s="10">
        <f>ROUND((E9*0.2+F9*0.4+G9*0.4),1)</f>
        <v/>
      </c>
      <c r="I9" s="10">
        <f>IF(H9&gt;=4.5,"Excede",IF(H9&gt;=4,"Atinge Pleno",IF(H9&gt;=3,"Atinge",IF(H9&gt;=2,"Em Desenvolvimento","Abaixo"))))</f>
        <v/>
      </c>
    </row>
    <row r="10">
      <c r="A10" s="9" t="inlineStr">
        <is>
          <t>Gabriela Lima</t>
        </is>
      </c>
      <c r="B10" s="9" t="inlineStr">
        <is>
          <t>Designer Sr.</t>
        </is>
      </c>
      <c r="C10" s="9" t="inlineStr">
        <is>
          <t>Marketing</t>
        </is>
      </c>
      <c r="D10" s="9" t="inlineStr">
        <is>
          <t>Elena Costa</t>
        </is>
      </c>
      <c r="E10" s="9" t="n">
        <v>4</v>
      </c>
      <c r="F10" s="9" t="n">
        <v>4.2</v>
      </c>
      <c r="G10" s="9" t="n">
        <v>4.1</v>
      </c>
      <c r="H10" s="9">
        <f>ROUND((E10*0.2+F10*0.4+G10*0.4),1)</f>
        <v/>
      </c>
      <c r="I10" s="9">
        <f>IF(H10&gt;=4.5,"Excede",IF(H10&gt;=4,"Atinge Pleno",IF(H10&gt;=3,"Atinge",IF(H10&gt;=2,"Em Desenvolvimento","Abaixo"))))</f>
        <v/>
      </c>
    </row>
    <row r="11">
      <c r="A11" s="10" t="inlineStr">
        <is>
          <t>Henrique Alves</t>
        </is>
      </c>
      <c r="B11" s="10" t="inlineStr">
        <is>
          <t>Estagiário</t>
        </is>
      </c>
      <c r="C11" s="10" t="inlineStr">
        <is>
          <t>RH</t>
        </is>
      </c>
      <c r="D11" s="10" t="inlineStr">
        <is>
          <t>Carla Mendes</t>
        </is>
      </c>
      <c r="E11" s="10" t="n">
        <v>3.7</v>
      </c>
      <c r="F11" s="10" t="n">
        <v>3.5</v>
      </c>
      <c r="G11" s="10" t="n">
        <v>3.6</v>
      </c>
      <c r="H11" s="10">
        <f>ROUND((E11*0.2+F11*0.4+G11*0.4),1)</f>
        <v/>
      </c>
      <c r="I11" s="10">
        <f>IF(H11&gt;=4.5,"Excede",IF(H11&gt;=4,"Atinge Pleno",IF(H11&gt;=3,"Atinge",IF(H11&gt;=2,"Em Desenvolvimento","Abaixo"))))</f>
        <v/>
      </c>
    </row>
    <row r="14">
      <c r="A14" s="7" t="inlineStr">
        <is>
          <t>DISTRIBUIÇÃO DE PERFORMANCE</t>
        </is>
      </c>
    </row>
    <row r="15">
      <c r="A15" s="16" t="inlineStr">
        <is>
          <t>Excede Expectativas</t>
        </is>
      </c>
      <c r="B15" s="17">
        <f>COUNTIF(I4:I11,"Excede")</f>
        <v/>
      </c>
    </row>
    <row r="16">
      <c r="A16" s="16" t="inlineStr">
        <is>
          <t>Atinge Plenamente</t>
        </is>
      </c>
      <c r="B16" s="17">
        <f>COUNTIF(I4:I11,"Atinge Pleno")</f>
        <v/>
      </c>
    </row>
    <row r="17">
      <c r="A17" s="16" t="inlineStr">
        <is>
          <t>Atinge</t>
        </is>
      </c>
      <c r="B17" s="17">
        <f>COUNTIF(I4:I11,"Atinge")</f>
        <v/>
      </c>
    </row>
    <row r="18">
      <c r="A18" s="16" t="inlineStr">
        <is>
          <t>Em Desenvolvimento</t>
        </is>
      </c>
      <c r="B18" s="17">
        <f>COUNTIF(I4:I11,"Em Desenvolvimento")</f>
        <v/>
      </c>
    </row>
    <row r="19">
      <c r="A19" s="16" t="inlineStr">
        <is>
          <t>Abaixo</t>
        </is>
      </c>
      <c r="B19" s="17">
        <f>COUNTIF(I4:I11,"Abaixo")</f>
        <v/>
      </c>
    </row>
    <row r="20">
      <c r="A20" s="16" t="inlineStr">
        <is>
          <t>Nota Média Geral</t>
        </is>
      </c>
      <c r="B20" s="17">
        <f>ROUND(AVERAGE(H4:H11),1)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A896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5" customHeight="1">
      <c r="A1" s="12" t="inlineStr">
        <is>
          <t>ANÁLISE DE REMUNERAÇÃO</t>
        </is>
      </c>
    </row>
    <row r="3">
      <c r="A3" s="8" t="inlineStr">
        <is>
          <t>Cargo</t>
        </is>
      </c>
      <c r="B3" s="8" t="inlineStr">
        <is>
          <t>Nível</t>
        </is>
      </c>
      <c r="C3" s="8" t="inlineStr">
        <is>
          <t>Depto.</t>
        </is>
      </c>
      <c r="D3" s="8" t="inlineStr">
        <is>
          <t>Salário Atual</t>
        </is>
      </c>
      <c r="E3" s="8" t="inlineStr">
        <is>
          <t>Mercado P50</t>
        </is>
      </c>
      <c r="F3" s="8" t="inlineStr">
        <is>
          <t>Mercado P75</t>
        </is>
      </c>
      <c r="G3" s="8" t="inlineStr">
        <is>
          <t>Posição vs P50</t>
        </is>
      </c>
      <c r="H3" s="8" t="inlineStr">
        <is>
          <t>Recomendação</t>
        </is>
      </c>
    </row>
    <row r="4">
      <c r="A4" s="9" t="inlineStr">
        <is>
          <t>Analista de Dados</t>
        </is>
      </c>
      <c r="B4" s="9" t="inlineStr">
        <is>
          <t>Sênior</t>
        </is>
      </c>
      <c r="C4" s="9" t="inlineStr">
        <is>
          <t>Tecnologia</t>
        </is>
      </c>
      <c r="D4" s="18" t="n">
        <v>12000</v>
      </c>
      <c r="E4" s="18" t="n">
        <v>11500</v>
      </c>
      <c r="F4" s="18" t="n">
        <v>14000</v>
      </c>
      <c r="G4" s="19">
        <f>(D4-E4)/E4</f>
        <v/>
      </c>
      <c r="H4" s="9">
        <f>IF(G4&lt;-0.05,"Ajustar para mercado",IF(G4&gt;0.1,"Acima do mercado","Dentro da faixa"))</f>
        <v/>
      </c>
    </row>
    <row r="5">
      <c r="A5" s="10" t="inlineStr">
        <is>
          <t>Desenvolvedor Full Stack</t>
        </is>
      </c>
      <c r="B5" s="10" t="inlineStr">
        <is>
          <t>Pleno</t>
        </is>
      </c>
      <c r="C5" s="10" t="inlineStr">
        <is>
          <t>Tecnologia</t>
        </is>
      </c>
      <c r="D5" s="20" t="n">
        <v>9500</v>
      </c>
      <c r="E5" s="20" t="n">
        <v>10000</v>
      </c>
      <c r="F5" s="20" t="n">
        <v>12500</v>
      </c>
      <c r="G5" s="21">
        <f>(D5-E5)/E5</f>
        <v/>
      </c>
      <c r="H5" s="10">
        <f>IF(G5&lt;-0.05,"Ajustar para mercado",IF(G5&gt;0.1,"Acima do mercado","Dentro da faixa"))</f>
        <v/>
      </c>
    </row>
    <row r="6">
      <c r="A6" s="9" t="inlineStr">
        <is>
          <t>Analista Financeiro</t>
        </is>
      </c>
      <c r="B6" s="9" t="inlineStr">
        <is>
          <t>Júnior</t>
        </is>
      </c>
      <c r="C6" s="9" t="inlineStr">
        <is>
          <t>Financeiro</t>
        </is>
      </c>
      <c r="D6" s="18" t="n">
        <v>4500</v>
      </c>
      <c r="E6" s="18" t="n">
        <v>4800</v>
      </c>
      <c r="F6" s="18" t="n">
        <v>5800</v>
      </c>
      <c r="G6" s="19">
        <f>(D6-E6)/E6</f>
        <v/>
      </c>
      <c r="H6" s="9">
        <f>IF(G6&lt;-0.05,"Ajustar para mercado",IF(G6&gt;0.1,"Acima do mercado","Dentro da faixa"))</f>
        <v/>
      </c>
    </row>
    <row r="7">
      <c r="A7" s="10" t="inlineStr">
        <is>
          <t>Coordenador Comercial</t>
        </is>
      </c>
      <c r="B7" s="10" t="inlineStr">
        <is>
          <t>Sênior</t>
        </is>
      </c>
      <c r="C7" s="10" t="inlineStr">
        <is>
          <t>Comercial</t>
        </is>
      </c>
      <c r="D7" s="20" t="n">
        <v>14000</v>
      </c>
      <c r="E7" s="20" t="n">
        <v>13000</v>
      </c>
      <c r="F7" s="20" t="n">
        <v>16000</v>
      </c>
      <c r="G7" s="21">
        <f>(D7-E7)/E7</f>
        <v/>
      </c>
      <c r="H7" s="10">
        <f>IF(G7&lt;-0.05,"Ajustar para mercado",IF(G7&gt;0.1,"Acima do mercado","Dentro da faixa"))</f>
        <v/>
      </c>
    </row>
    <row r="8">
      <c r="A8" s="9" t="inlineStr">
        <is>
          <t>Designer UX/UI</t>
        </is>
      </c>
      <c r="B8" s="9" t="inlineStr">
        <is>
          <t>Pleno</t>
        </is>
      </c>
      <c r="C8" s="9" t="inlineStr">
        <is>
          <t>Marketing</t>
        </is>
      </c>
      <c r="D8" s="18" t="n">
        <v>8500</v>
      </c>
      <c r="E8" s="18" t="n">
        <v>9000</v>
      </c>
      <c r="F8" s="18" t="n">
        <v>11000</v>
      </c>
      <c r="G8" s="19">
        <f>(D8-E8)/E8</f>
        <v/>
      </c>
      <c r="H8" s="9">
        <f>IF(G8&lt;-0.05,"Ajustar para mercado",IF(G8&gt;0.1,"Acima do mercado","Dentro da faixa"))</f>
        <v/>
      </c>
    </row>
    <row r="9">
      <c r="A9" s="10" t="inlineStr">
        <is>
          <t>Analista de RH</t>
        </is>
      </c>
      <c r="B9" s="10" t="inlineStr">
        <is>
          <t>Pleno</t>
        </is>
      </c>
      <c r="C9" s="10" t="inlineStr">
        <is>
          <t>RH</t>
        </is>
      </c>
      <c r="D9" s="20" t="n">
        <v>7000</v>
      </c>
      <c r="E9" s="20" t="n">
        <v>7200</v>
      </c>
      <c r="F9" s="20" t="n">
        <v>9000</v>
      </c>
      <c r="G9" s="21">
        <f>(D9-E9)/E9</f>
        <v/>
      </c>
      <c r="H9" s="10">
        <f>IF(G9&lt;-0.05,"Ajustar para mercado",IF(G9&gt;0.1,"Acima do mercado","Dentro da faixa"))</f>
        <v/>
      </c>
    </row>
    <row r="10">
      <c r="A10" s="9" t="inlineStr">
        <is>
          <t>Gerente de Projetos</t>
        </is>
      </c>
      <c r="B10" s="9" t="inlineStr">
        <is>
          <t>Sênior</t>
        </is>
      </c>
      <c r="C10" s="9" t="inlineStr">
        <is>
          <t>Tecnologia</t>
        </is>
      </c>
      <c r="D10" s="18" t="n">
        <v>18000</v>
      </c>
      <c r="E10" s="18" t="n">
        <v>17000</v>
      </c>
      <c r="F10" s="18" t="n">
        <v>21000</v>
      </c>
      <c r="G10" s="19">
        <f>(D10-E10)/E10</f>
        <v/>
      </c>
      <c r="H10" s="9">
        <f>IF(G10&lt;-0.05,"Ajustar para mercado",IF(G10&gt;0.1,"Acima do mercado","Dentro da faixa"))</f>
        <v/>
      </c>
    </row>
    <row r="11">
      <c r="A11" s="10" t="inlineStr">
        <is>
          <t>Estagiário</t>
        </is>
      </c>
      <c r="B11" s="10" t="inlineStr">
        <is>
          <t>Júnior</t>
        </is>
      </c>
      <c r="C11" s="10" t="inlineStr">
        <is>
          <t>RH</t>
        </is>
      </c>
      <c r="D11" s="20" t="n">
        <v>1800</v>
      </c>
      <c r="E11" s="20" t="n">
        <v>1900</v>
      </c>
      <c r="F11" s="20" t="n">
        <v>2200</v>
      </c>
      <c r="G11" s="21">
        <f>(D11-E11)/E11</f>
        <v/>
      </c>
      <c r="H11" s="10">
        <f>IF(G11&lt;-0.05,"Ajustar para mercado",IF(G11&gt;0.1,"Acima do mercado","Dentro da faixa"))</f>
        <v/>
      </c>
    </row>
    <row r="14">
      <c r="A14" s="7" t="inlineStr">
        <is>
          <t>RESUMO SALARIAL</t>
        </is>
      </c>
    </row>
    <row r="15">
      <c r="A15" s="16" t="inlineStr">
        <is>
          <t>Folha Salarial Total (mensal)</t>
        </is>
      </c>
      <c r="B15" s="22">
        <f>SUM(D4:D11)</f>
        <v/>
      </c>
    </row>
    <row r="16">
      <c r="A16" s="16" t="inlineStr">
        <is>
          <t>Média Salarial</t>
        </is>
      </c>
      <c r="B16" s="22">
        <f>ROUND(AVERAGE(D4:D11),0)</f>
        <v/>
      </c>
    </row>
    <row r="17">
      <c r="A17" s="16" t="inlineStr">
        <is>
          <t>Cargos Abaixo do Mercado</t>
        </is>
      </c>
      <c r="B17" s="17">
        <f>COUNTIF(G4:G11,"&lt;-0.05")</f>
        <v/>
      </c>
    </row>
    <row r="18">
      <c r="A18" s="16" t="inlineStr">
        <is>
          <t>Cargos Acima do Mercado</t>
        </is>
      </c>
      <c r="B18" s="17">
        <f>COUNTIF(G4:G11,"&gt;0.1")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2332"/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5" customHeight="1">
      <c r="A1" s="12" t="inlineStr">
        <is>
          <t>CONTROLE DE HEADCOUNT MENSAL | 2026</t>
        </is>
      </c>
    </row>
    <row r="3">
      <c r="A3" s="8" t="inlineStr">
        <is>
          <t>Indicador</t>
        </is>
      </c>
      <c r="B3" s="8" t="inlineStr">
        <is>
          <t>Jan</t>
        </is>
      </c>
      <c r="C3" s="8" t="inlineStr">
        <is>
          <t>Fev</t>
        </is>
      </c>
      <c r="D3" s="8" t="inlineStr">
        <is>
          <t>Mar</t>
        </is>
      </c>
      <c r="E3" s="8" t="inlineStr">
        <is>
          <t>Abr</t>
        </is>
      </c>
      <c r="F3" s="8" t="inlineStr">
        <is>
          <t>Mai</t>
        </is>
      </c>
      <c r="G3" s="8" t="inlineStr">
        <is>
          <t>Jun</t>
        </is>
      </c>
      <c r="H3" s="8" t="inlineStr">
        <is>
          <t>Jul</t>
        </is>
      </c>
      <c r="I3" s="8" t="inlineStr">
        <is>
          <t>Ago</t>
        </is>
      </c>
      <c r="J3" s="8" t="inlineStr">
        <is>
          <t>Set</t>
        </is>
      </c>
      <c r="K3" s="8" t="inlineStr">
        <is>
          <t>Out</t>
        </is>
      </c>
      <c r="L3" s="8" t="inlineStr">
        <is>
          <t>Nov</t>
        </is>
      </c>
      <c r="M3" s="8" t="inlineStr">
        <is>
          <t>Dez</t>
        </is>
      </c>
      <c r="N3" s="8" t="inlineStr">
        <is>
          <t>Total/Média</t>
        </is>
      </c>
    </row>
    <row r="4">
      <c r="A4" s="9" t="inlineStr">
        <is>
          <t>Headcount Início</t>
        </is>
      </c>
      <c r="B4" s="9" t="n">
        <v>142</v>
      </c>
      <c r="C4" s="9" t="n">
        <v>145</v>
      </c>
      <c r="D4" s="9" t="n">
        <v>148</v>
      </c>
      <c r="E4" s="9" t="n">
        <v>150</v>
      </c>
      <c r="F4" s="9" t="n"/>
      <c r="G4" s="9" t="n"/>
      <c r="H4" s="9" t="n"/>
      <c r="I4" s="9" t="n"/>
      <c r="J4" s="9" t="n"/>
      <c r="K4" s="9" t="n"/>
      <c r="L4" s="9" t="n"/>
      <c r="M4" s="9" t="n"/>
      <c r="N4" s="9">
        <f>IF(COUNT(B4:M4)&gt;0,MAX(B4:M4),"")</f>
        <v/>
      </c>
    </row>
    <row r="5">
      <c r="A5" s="10" t="inlineStr">
        <is>
          <t>Admissões</t>
        </is>
      </c>
      <c r="B5" s="10" t="n">
        <v>5</v>
      </c>
      <c r="C5" s="10" t="n">
        <v>4</v>
      </c>
      <c r="D5" s="10" t="n">
        <v>3</v>
      </c>
      <c r="E5" s="10" t="n">
        <v>5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>
        <f>IF(COUNT(B5:M5)&gt;0,SUM(B5:M5),"")</f>
        <v/>
      </c>
    </row>
    <row r="6">
      <c r="A6" s="9" t="inlineStr">
        <is>
          <t>Desligamentos Voluntários</t>
        </is>
      </c>
      <c r="B6" s="9" t="n">
        <v>1</v>
      </c>
      <c r="C6" s="9" t="n">
        <v>0</v>
      </c>
      <c r="D6" s="9" t="n">
        <v>1</v>
      </c>
      <c r="E6" s="9" t="n">
        <v>2</v>
      </c>
      <c r="F6" s="9" t="n"/>
      <c r="G6" s="9" t="n"/>
      <c r="H6" s="9" t="n"/>
      <c r="I6" s="9" t="n"/>
      <c r="J6" s="9" t="n"/>
      <c r="K6" s="9" t="n"/>
      <c r="L6" s="9" t="n"/>
      <c r="M6" s="9" t="n"/>
      <c r="N6" s="9">
        <f>IF(COUNT(B6:M6)&gt;0,SUM(B6:M6),"")</f>
        <v/>
      </c>
    </row>
    <row r="7">
      <c r="A7" s="10" t="inlineStr">
        <is>
          <t>Desligamentos Involuntários</t>
        </is>
      </c>
      <c r="B7" s="10" t="n">
        <v>1</v>
      </c>
      <c r="C7" s="10" t="n">
        <v>1</v>
      </c>
      <c r="D7" s="10" t="n">
        <v>0</v>
      </c>
      <c r="E7" s="10" t="n">
        <v>1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>
        <f>IF(COUNT(B7:M7)&gt;0,SUM(B7:M7),"")</f>
        <v/>
      </c>
    </row>
    <row r="8">
      <c r="A8" s="9" t="inlineStr">
        <is>
          <t>Headcount Final</t>
        </is>
      </c>
      <c r="B8" s="9" t="n">
        <v>145</v>
      </c>
      <c r="C8" s="9" t="n">
        <v>148</v>
      </c>
      <c r="D8" s="9" t="n">
        <v>150</v>
      </c>
      <c r="E8" s="9" t="n">
        <v>152</v>
      </c>
      <c r="F8" s="9" t="n"/>
      <c r="G8" s="9" t="n"/>
      <c r="H8" s="9" t="n"/>
      <c r="I8" s="9" t="n"/>
      <c r="J8" s="9" t="n"/>
      <c r="K8" s="9" t="n"/>
      <c r="L8" s="9" t="n"/>
      <c r="M8" s="9" t="n"/>
      <c r="N8" s="9">
        <f>IF(COUNT(B8:M8)&gt;0,MAX(B8:M8),"")</f>
        <v/>
      </c>
    </row>
    <row r="9">
      <c r="A9" s="10" t="inlineStr">
        <is>
          <t>Turnover (%)</t>
        </is>
      </c>
      <c r="B9" s="21" t="n">
        <v>0.014</v>
      </c>
      <c r="C9" s="21" t="n">
        <v>0.007</v>
      </c>
      <c r="D9" s="21" t="n">
        <v>0.007</v>
      </c>
      <c r="E9" s="21" t="n">
        <v>0.02</v>
      </c>
      <c r="F9" s="21" t="n"/>
      <c r="G9" s="21" t="n"/>
      <c r="H9" s="21" t="n"/>
      <c r="I9" s="21" t="n"/>
      <c r="J9" s="21" t="n"/>
      <c r="K9" s="21" t="n"/>
      <c r="L9" s="21" t="n"/>
      <c r="M9" s="21" t="n"/>
      <c r="N9" s="21">
        <f>IF(COUNT(B9:M9)&gt;0,AVERAGE(B9:M9),"")</f>
        <v/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2C39A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5" customHeight="1">
      <c r="A1" s="12" t="inlineStr">
        <is>
          <t>INDICADORES-CHAVE DE RH (KPIs)</t>
        </is>
      </c>
    </row>
    <row r="3">
      <c r="A3" s="8" t="inlineStr">
        <is>
          <t>Indicador</t>
        </is>
      </c>
      <c r="B3" s="8" t="inlineStr">
        <is>
          <t>Fórmula/Descrição</t>
        </is>
      </c>
      <c r="C3" s="8" t="inlineStr">
        <is>
          <t>Meta</t>
        </is>
      </c>
      <c r="D3" s="8" t="inlineStr">
        <is>
          <t>Resultado Atual</t>
        </is>
      </c>
      <c r="E3" s="8" t="inlineStr">
        <is>
          <t>Status</t>
        </is>
      </c>
      <c r="F3" s="8" t="inlineStr">
        <is>
          <t>Frequência</t>
        </is>
      </c>
    </row>
    <row r="4">
      <c r="A4" s="9" t="inlineStr">
        <is>
          <t>Turnover Geral</t>
        </is>
      </c>
      <c r="B4" s="9" t="inlineStr">
        <is>
          <t>Desligamentos / Headcount Médio</t>
        </is>
      </c>
      <c r="C4" s="9" t="inlineStr">
        <is>
          <t>&lt; 15% a.a.</t>
        </is>
      </c>
      <c r="D4" s="9" t="inlineStr">
        <is>
          <t>12%</t>
        </is>
      </c>
      <c r="E4" s="23" t="inlineStr">
        <is>
          <t>No Alvo</t>
        </is>
      </c>
      <c r="F4" s="9" t="inlineStr">
        <is>
          <t>Mensal</t>
        </is>
      </c>
    </row>
    <row r="5">
      <c r="A5" s="10" t="inlineStr">
        <is>
          <t>Turnover Voluntário</t>
        </is>
      </c>
      <c r="B5" s="10" t="inlineStr">
        <is>
          <t>Demissões Voluntárias / HC Médio</t>
        </is>
      </c>
      <c r="C5" s="10" t="inlineStr">
        <is>
          <t>&lt; 8% a.a.</t>
        </is>
      </c>
      <c r="D5" s="10" t="inlineStr">
        <is>
          <t>6%</t>
        </is>
      </c>
      <c r="E5" s="24" t="inlineStr">
        <is>
          <t>No Alvo</t>
        </is>
      </c>
      <c r="F5" s="10" t="inlineStr">
        <is>
          <t>Mensal</t>
        </is>
      </c>
    </row>
    <row r="6">
      <c r="A6" s="9" t="inlineStr">
        <is>
          <t>Tempo Médio Contratação</t>
        </is>
      </c>
      <c r="B6" s="9" t="inlineStr">
        <is>
          <t>Dias entre abertura e contratação</t>
        </is>
      </c>
      <c r="C6" s="9" t="inlineStr">
        <is>
          <t>&lt; 30 dias</t>
        </is>
      </c>
      <c r="D6" s="9" t="inlineStr">
        <is>
          <t>28 dias</t>
        </is>
      </c>
      <c r="E6" s="23" t="inlineStr">
        <is>
          <t>No Alvo</t>
        </is>
      </c>
      <c r="F6" s="9" t="inlineStr">
        <is>
          <t>Mensal</t>
        </is>
      </c>
    </row>
    <row r="7">
      <c r="A7" s="10" t="inlineStr">
        <is>
          <t>Custo por Contratação</t>
        </is>
      </c>
      <c r="B7" s="10" t="inlineStr">
        <is>
          <t>Investimento total / Contratações</t>
        </is>
      </c>
      <c r="C7" s="10" t="inlineStr">
        <is>
          <t>&lt; R$ 3.000</t>
        </is>
      </c>
      <c r="D7" s="10" t="inlineStr">
        <is>
          <t>R$ 2.800</t>
        </is>
      </c>
      <c r="E7" s="24" t="inlineStr">
        <is>
          <t>No Alvo</t>
        </is>
      </c>
      <c r="F7" s="10" t="inlineStr">
        <is>
          <t>Trimestral</t>
        </is>
      </c>
    </row>
    <row r="8">
      <c r="A8" s="9" t="inlineStr">
        <is>
          <t>Satisfação do Onboarding</t>
        </is>
      </c>
      <c r="B8" s="9" t="inlineStr">
        <is>
          <t>NPS do processo de integração</t>
        </is>
      </c>
      <c r="C8" s="9" t="inlineStr">
        <is>
          <t>&gt; 90%</t>
        </is>
      </c>
      <c r="D8" s="9" t="inlineStr">
        <is>
          <t>92%</t>
        </is>
      </c>
      <c r="E8" s="23" t="inlineStr">
        <is>
          <t>No Alvo</t>
        </is>
      </c>
      <c r="F8" s="9" t="inlineStr">
        <is>
          <t>Mensal</t>
        </is>
      </c>
    </row>
    <row r="9">
      <c r="A9" s="10" t="inlineStr">
        <is>
          <t>Retenção 1º Ano</t>
        </is>
      </c>
      <c r="B9" s="10" t="inlineStr">
        <is>
          <t>Colaboradores retidos / Admitidos</t>
        </is>
      </c>
      <c r="C9" s="10" t="inlineStr">
        <is>
          <t>&gt; 90%</t>
        </is>
      </c>
      <c r="D9" s="10" t="inlineStr">
        <is>
          <t>88%</t>
        </is>
      </c>
      <c r="E9" s="25" t="inlineStr">
        <is>
          <t>Atenção</t>
        </is>
      </c>
      <c r="F9" s="10" t="inlineStr">
        <is>
          <t>Anual</t>
        </is>
      </c>
    </row>
    <row r="10">
      <c r="A10" s="9" t="inlineStr">
        <is>
          <t>Absenteísmo</t>
        </is>
      </c>
      <c r="B10" s="9" t="inlineStr">
        <is>
          <t>Dias ausentes / Dias úteis totais</t>
        </is>
      </c>
      <c r="C10" s="9" t="inlineStr">
        <is>
          <t>&lt; 3%</t>
        </is>
      </c>
      <c r="D10" s="9" t="inlineStr">
        <is>
          <t>2.5%</t>
        </is>
      </c>
      <c r="E10" s="23" t="inlineStr">
        <is>
          <t>No Alvo</t>
        </is>
      </c>
      <c r="F10" s="9" t="inlineStr">
        <is>
          <t>Mensal</t>
        </is>
      </c>
    </row>
    <row r="11">
      <c r="A11" s="10" t="inlineStr">
        <is>
          <t>Horas de Treinamento</t>
        </is>
      </c>
      <c r="B11" s="10" t="inlineStr">
        <is>
          <t>Total horas / Headcount</t>
        </is>
      </c>
      <c r="C11" s="10" t="inlineStr">
        <is>
          <t>&gt; 40h/ano</t>
        </is>
      </c>
      <c r="D11" s="10" t="inlineStr">
        <is>
          <t>35h</t>
        </is>
      </c>
      <c r="E11" s="25" t="inlineStr">
        <is>
          <t>Atenção</t>
        </is>
      </c>
      <c r="F11" s="10" t="inlineStr">
        <is>
          <t>Trimestral</t>
        </is>
      </c>
    </row>
    <row r="12">
      <c r="A12" s="9" t="inlineStr">
        <is>
          <t>Índice de Engajamento</t>
        </is>
      </c>
      <c r="B12" s="9" t="inlineStr">
        <is>
          <t>Pesquisa de clima organizacional</t>
        </is>
      </c>
      <c r="C12" s="9" t="inlineStr">
        <is>
          <t>&gt; 80%</t>
        </is>
      </c>
      <c r="D12" s="9" t="inlineStr">
        <is>
          <t>78%</t>
        </is>
      </c>
      <c r="E12" s="26" t="inlineStr">
        <is>
          <t>Atenção</t>
        </is>
      </c>
      <c r="F12" s="9" t="inlineStr">
        <is>
          <t>Semestral</t>
        </is>
      </c>
    </row>
    <row r="13">
      <c r="A13" s="10" t="inlineStr">
        <is>
          <t>Diversidade (Gênero)</t>
        </is>
      </c>
      <c r="B13" s="10" t="inlineStr">
        <is>
          <t>% mulheres em posições de liderança</t>
        </is>
      </c>
      <c r="C13" s="10" t="inlineStr">
        <is>
          <t>&gt; 40%</t>
        </is>
      </c>
      <c r="D13" s="10" t="inlineStr">
        <is>
          <t>38%</t>
        </is>
      </c>
      <c r="E13" s="25" t="inlineStr">
        <is>
          <t>Atenção</t>
        </is>
      </c>
      <c r="F13" s="10" t="inlineStr">
        <is>
          <t>Semestral</t>
        </is>
      </c>
    </row>
    <row r="14">
      <c r="A14" s="9" t="inlineStr">
        <is>
          <t>Preenchimento de Vagas</t>
        </is>
      </c>
      <c r="B14" s="9" t="inlineStr">
        <is>
          <t>% vagas preenchidas no SLA</t>
        </is>
      </c>
      <c r="C14" s="9" t="inlineStr">
        <is>
          <t>&gt; 85%</t>
        </is>
      </c>
      <c r="D14" s="9" t="inlineStr">
        <is>
          <t>82%</t>
        </is>
      </c>
      <c r="E14" s="26" t="inlineStr">
        <is>
          <t>Atenção</t>
        </is>
      </c>
      <c r="F14" s="9" t="inlineStr">
        <is>
          <t>Mensal</t>
        </is>
      </c>
    </row>
    <row r="15">
      <c r="A15" s="10" t="inlineStr">
        <is>
          <t>eNPS</t>
        </is>
      </c>
      <c r="B15" s="10" t="inlineStr">
        <is>
          <t>Net Promoter Score dos colaboradores</t>
        </is>
      </c>
      <c r="C15" s="10" t="inlineStr">
        <is>
          <t>&gt; 50</t>
        </is>
      </c>
      <c r="D15" s="10" t="inlineStr">
        <is>
          <t>72</t>
        </is>
      </c>
      <c r="E15" s="24" t="inlineStr">
        <is>
          <t>No Alvo</t>
        </is>
      </c>
      <c r="F15" s="10" t="inlineStr">
        <is>
          <t>Semestral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2026-04-06T13:46:28Z</dcterms:created>
  <dcterms:modified xmlns:dcterms="http://purl.org/dc/terms/" xmlns:xsi="http://www.w3.org/2001/XMLSchema-instance" xsi:type="dcterms:W3CDTF">2026-04-06T13:46:28Z</dcterms:modified>
</cp:coreProperties>
</file>