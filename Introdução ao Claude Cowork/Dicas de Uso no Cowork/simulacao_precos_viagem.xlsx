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Hospedagem" sheetId="2" state="visible" r:id="rId4"/>
    <sheet name="Passage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Melhor custo-benefício simulado: nota alta (9,0) com uma das diárias mais baixas do grupo.</t>
        </r>
      </text>
    </comment>
  </commentList>
</comments>
</file>

<file path=xl/sharedStrings.xml><?xml version="1.0" encoding="utf-8"?>
<sst xmlns="http://schemas.openxmlformats.org/spreadsheetml/2006/main" count="103" uniqueCount="81">
  <si>
    <t xml:space="preserve">Simulação — Pesquisa recorrente de preços de viagem</t>
  </si>
  <si>
    <t xml:space="preserve">Exemplo de saída da automação de preços • destino: Florianópolis • gerado em 23/09/2026</t>
  </si>
  <si>
    <t xml:space="preserve">Esta planilha é uma SIMULAÇÃO para mostrar como a automação de pesquisa de preços vai funcionar. Foram usadas datas fictícias (10 a 15/12/2026, 5 noites, 2 adultos) porque a viagem real ainda não tem destino/data definidos. Quando você tiver uma viagem de verdade, é só rodar de novo com o destino e as datas certas.</t>
  </si>
  <si>
    <t xml:space="preserve">Principais achados</t>
  </si>
  <si>
    <t xml:space="preserve">•  Hospedagem mais barata: Rede Andrade Cecomtur — R$ 213/noite (R$ 1.066 as 5 noites) — nota 7,0</t>
  </si>
  <si>
    <t xml:space="preserve">•  Hospedagem melhor avaliada (entre as pesquisadas): Porto da Ilha Hotel — nota 9,0 a R$ 240/noite</t>
  </si>
  <si>
    <t xml:space="preserve">•  Melhor custo-benefício (nota alta e preço baixo): Porto da Ilha Hotel</t>
  </si>
  <si>
    <t xml:space="preserve">•  Passagem aérea (ida e volta, Teresina-Florianópolis): estimativas entre R$ 1.228 e R$ 1.921, conforme a fonte</t>
  </si>
  <si>
    <t xml:space="preserve">Fontes</t>
  </si>
  <si>
    <t xml:space="preserve">•  Hospedagem: Trivago (conector), busca em 23/09/2026, Florianópolis, 10-15/12/2026, 2 adultos, 1 quarto</t>
  </si>
  <si>
    <t xml:space="preserve">•  Passagens: agregadores web (Decolar, Expedia, momondo, Trip.com), consultados em 23/09/2026 — preços médios/históricos, não são cotação ao vivo para datas exatas</t>
  </si>
  <si>
    <t xml:space="preserve">Hospedagem em Florianópolis — 10 a 15/12/2026 (5 noites, 2 adultos, 1 quarto) — via Trivago</t>
  </si>
  <si>
    <t xml:space="preserve">Acomodação</t>
  </si>
  <si>
    <t xml:space="preserve">Tipo</t>
  </si>
  <si>
    <t xml:space="preserve">Plataforma</t>
  </si>
  <si>
    <t xml:space="preserve">Preço/noite (R$)</t>
  </si>
  <si>
    <t xml:space="preserve">Preço total 5 noites (R$)</t>
  </si>
  <si>
    <t xml:space="preserve">Nota (0-10)</t>
  </si>
  <si>
    <t xml:space="preserve">Nº avaliações</t>
  </si>
  <si>
    <t xml:space="preserve">Categoria (estrelas)</t>
  </si>
  <si>
    <t xml:space="preserve">Distância do centro</t>
  </si>
  <si>
    <t xml:space="preserve">Custo-benefício (nota/1000 R$)</t>
  </si>
  <si>
    <t xml:space="preserve">Rede Andrade Cecomtur</t>
  </si>
  <si>
    <t xml:space="preserve">Hotel</t>
  </si>
  <si>
    <t xml:space="preserve">Ourtrip</t>
  </si>
  <si>
    <t xml:space="preserve">0,1 km</t>
  </si>
  <si>
    <t xml:space="preserve">Porto da Ilha Hotel</t>
  </si>
  <si>
    <t xml:space="preserve">0,6 km</t>
  </si>
  <si>
    <t xml:space="preserve">Hotel Porto Madero</t>
  </si>
  <si>
    <t xml:space="preserve">Hoteis.com</t>
  </si>
  <si>
    <t xml:space="preserve">20,8 km</t>
  </si>
  <si>
    <t xml:space="preserve">Hotel Farol da Ilha</t>
  </si>
  <si>
    <t xml:space="preserve">0,7 km</t>
  </si>
  <si>
    <t xml:space="preserve">Castelmar Hotel</t>
  </si>
  <si>
    <t xml:space="preserve">MaxMilhas</t>
  </si>
  <si>
    <t xml:space="preserve">1,3 km</t>
  </si>
  <si>
    <t xml:space="preserve">Faial Prime Suites</t>
  </si>
  <si>
    <t xml:space="preserve">Lindo apartamento, Canasvieiras</t>
  </si>
  <si>
    <t xml:space="preserve">Airbnb</t>
  </si>
  <si>
    <t xml:space="preserve">—</t>
  </si>
  <si>
    <t xml:space="preserve">19,6 km</t>
  </si>
  <si>
    <t xml:space="preserve">Intercity Portofino Florianópolis</t>
  </si>
  <si>
    <t xml:space="preserve">7,1 km</t>
  </si>
  <si>
    <t xml:space="preserve">Novotel Florianópolis</t>
  </si>
  <si>
    <t xml:space="preserve">Nomad Trips</t>
  </si>
  <si>
    <t xml:space="preserve">1,2 km</t>
  </si>
  <si>
    <t xml:space="preserve">Apto Resort na beira da lagoa</t>
  </si>
  <si>
    <t xml:space="preserve">7,6 km</t>
  </si>
  <si>
    <t xml:space="preserve">Casa 3 suítes em Jurerê</t>
  </si>
  <si>
    <t xml:space="preserve">18,0 km</t>
  </si>
  <si>
    <t xml:space="preserve">Suíte em resort em Jurerê (JBV252)</t>
  </si>
  <si>
    <t xml:space="preserve">18,5 km</t>
  </si>
  <si>
    <t xml:space="preserve">Fonte: Trivago (conector Claude), busca em 23/09/2026. Preços podem variar por disponibilidade e não incluem taxas de reserva.</t>
  </si>
  <si>
    <t xml:space="preserve">Passagens aéreas Teresina (THE) ↔ Florianópolis (FLN) — estimativas de mercado (não são cotação ao vivo)</t>
  </si>
  <si>
    <t xml:space="preserve">Fonte</t>
  </si>
  <si>
    <t xml:space="preserve">Tipo de tarifa</t>
  </si>
  <si>
    <t xml:space="preserve">Preço estimado (R$)</t>
  </si>
  <si>
    <t xml:space="preserve">Companhias mencionadas</t>
  </si>
  <si>
    <t xml:space="preserve">Base da estimativa</t>
  </si>
  <si>
    <t xml:space="preserve">Observação</t>
  </si>
  <si>
    <t xml:space="preserve">Decolar</t>
  </si>
  <si>
    <t xml:space="preserve">Ida e volta</t>
  </si>
  <si>
    <t xml:space="preserve">LATAM, GOL, Azul</t>
  </si>
  <si>
    <t xml:space="preserve">Menor preço histórico exibido no site</t>
  </si>
  <si>
    <t xml:space="preserve">Não específico para dez/2026</t>
  </si>
  <si>
    <t xml:space="preserve">Expedia</t>
  </si>
  <si>
    <t xml:space="preserve">Ida e volta (exemplo real)</t>
  </si>
  <si>
    <t xml:space="preserve">LATAM</t>
  </si>
  <si>
    <t xml:space="preserve">Voo específico: 01/10 a 07/10/2026</t>
  </si>
  <si>
    <t xml:space="preserve">Data de exemplo, fora do período simulado</t>
  </si>
  <si>
    <t xml:space="preserve">momondo</t>
  </si>
  <si>
    <t xml:space="preserve">Ida e volta, 1 escala (via Campinas)</t>
  </si>
  <si>
    <t xml:space="preserve">LATAM e outras</t>
  </si>
  <si>
    <t xml:space="preserve">Menor tarifa média com conexão</t>
  </si>
  <si>
    <t xml:space="preserve">Rota com escala, pode não ser a mais rápida</t>
  </si>
  <si>
    <t xml:space="preserve">Trip.com</t>
  </si>
  <si>
    <t xml:space="preserve">Somente ida (estimativa x2 p/ comparar)</t>
  </si>
  <si>
    <t xml:space="preserve">Azul (mais barata na rota)</t>
  </si>
  <si>
    <t xml:space="preserve">Tarifa média histórica só de ida (R$1.209) x2</t>
  </si>
  <si>
    <t xml:space="preserve">Estimativa aproximada — não é preço real de ida e volta</t>
  </si>
  <si>
    <t xml:space="preserve">Fonte: busca na web em 23/09/2026 (Decolar, Expedia, momondo, Trip.com). Nenhum conector de passagens aéreas ao vivo estava disponível nesta simulação; para uma cotação real, a automação usará um agregador de voos conectado (ex.: via navegador) na data em que for rodada.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</si>
</sst>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&quot;#,##0"/>
    <numFmt numFmtId="16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10"/>
      <color rgb="FF833C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33C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Preço total (5 noites) por acomodação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Hospedagem!E3</c:f>
              <c:strCache>
                <c:ptCount val="1"/>
                <c:pt idx="0">
                  <c:v>Preço total 5 noites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Hospedagem!$A$4:$A$15</c:f>
              <c:strCache>
                <c:ptCount val="12"/>
                <c:pt idx="0">
                  <c:v>Rede Andrade Cecomtur</c:v>
                </c:pt>
                <c:pt idx="1">
                  <c:v>Porto da Ilha Hotel</c:v>
                </c:pt>
                <c:pt idx="2">
                  <c:v>Hotel Porto Madero</c:v>
                </c:pt>
                <c:pt idx="3">
                  <c:v>Hotel Farol da Ilha</c:v>
                </c:pt>
                <c:pt idx="4">
                  <c:v>Castelmar Hotel</c:v>
                </c:pt>
                <c:pt idx="5">
                  <c:v>Faial Prime Suites</c:v>
                </c:pt>
                <c:pt idx="6">
                  <c:v>Lindo apartamento, Canasvieiras</c:v>
                </c:pt>
                <c:pt idx="7">
                  <c:v>Intercity Portofino Florianópolis</c:v>
                </c:pt>
                <c:pt idx="8">
                  <c:v>Novotel Florianópolis</c:v>
                </c:pt>
                <c:pt idx="9">
                  <c:v>Apto Resort na beira da lagoa</c:v>
                </c:pt>
                <c:pt idx="10">
                  <c:v>Casa 3 suítes em Jurerê</c:v>
                </c:pt>
                <c:pt idx="11">
                  <c:v>Suíte em resort em Jurerê (JBV252)</c:v>
                </c:pt>
              </c:strCache>
            </c:strRef>
          </c:cat>
          <c:val>
            <c:numRef>
              <c:f>Hospedagem!$E$4:$E$15</c:f>
              <c:numCache>
                <c:formatCode>"R$"#,##0</c:formatCode>
                <c:ptCount val="12"/>
                <c:pt idx="0">
                  <c:v>1066</c:v>
                </c:pt>
                <c:pt idx="1">
                  <c:v>1202</c:v>
                </c:pt>
                <c:pt idx="2">
                  <c:v>1248</c:v>
                </c:pt>
                <c:pt idx="3">
                  <c:v>1285</c:v>
                </c:pt>
                <c:pt idx="4">
                  <c:v>1421</c:v>
                </c:pt>
                <c:pt idx="5">
                  <c:v>2226</c:v>
                </c:pt>
                <c:pt idx="6">
                  <c:v>2607</c:v>
                </c:pt>
                <c:pt idx="7">
                  <c:v>2645</c:v>
                </c:pt>
                <c:pt idx="8">
                  <c:v>3070</c:v>
                </c:pt>
                <c:pt idx="9">
                  <c:v>3480</c:v>
                </c:pt>
                <c:pt idx="10">
                  <c:v>5270</c:v>
                </c:pt>
                <c:pt idx="11">
                  <c:v>5897</c:v>
                </c:pt>
              </c:numCache>
            </c:numRef>
          </c:val>
        </c:ser>
        <c:gapWidth val="150"/>
        <c:overlap val="0"/>
        <c:axId val="63181228"/>
        <c:axId val="31150657"/>
      </c:barChart>
      <c:catAx>
        <c:axId val="63181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Acomodação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50657"/>
        <c:crosses val="autoZero"/>
        <c:auto val="1"/>
        <c:lblAlgn val="ctr"/>
        <c:lblOffset val="100"/>
        <c:noMultiLvlLbl val="0"/>
      </c:catAx>
      <c:valAx>
        <c:axId val="311506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1812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Preço/noite × Nota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"Acomodações"</c:f>
              <c:strCache>
                <c:ptCount val="1"/>
                <c:pt idx="0">
                  <c:v>Acomodações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Hospedagem!$D$4:$D$15</c:f>
              <c:numCache>
                <c:formatCode>"R$"#,##0</c:formatCode>
                <c:ptCount val="12"/>
                <c:pt idx="0">
                  <c:v>213</c:v>
                </c:pt>
                <c:pt idx="1">
                  <c:v>240</c:v>
                </c:pt>
                <c:pt idx="2">
                  <c:v>250</c:v>
                </c:pt>
                <c:pt idx="3">
                  <c:v>257</c:v>
                </c:pt>
                <c:pt idx="4">
                  <c:v>284</c:v>
                </c:pt>
                <c:pt idx="5">
                  <c:v>445</c:v>
                </c:pt>
                <c:pt idx="6">
                  <c:v>521</c:v>
                </c:pt>
                <c:pt idx="7">
                  <c:v>529</c:v>
                </c:pt>
                <c:pt idx="8">
                  <c:v>614</c:v>
                </c:pt>
                <c:pt idx="9">
                  <c:v>696</c:v>
                </c:pt>
                <c:pt idx="10">
                  <c:v>1054</c:v>
                </c:pt>
                <c:pt idx="11">
                  <c:v>1179</c:v>
                </c:pt>
              </c:numCache>
            </c:numRef>
          </c:xVal>
          <c:yVal>
            <c:numRef>
              <c:f>Hospedagem!$F$4:$F$15</c:f>
              <c:numCache>
                <c:formatCode>General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8.7</c:v>
                </c:pt>
                <c:pt idx="3">
                  <c:v>8.3</c:v>
                </c:pt>
                <c:pt idx="4">
                  <c:v>8.2</c:v>
                </c:pt>
                <c:pt idx="5">
                  <c:v>9</c:v>
                </c:pt>
                <c:pt idx="6">
                  <c:v>9.5</c:v>
                </c:pt>
                <c:pt idx="7">
                  <c:v>8.8</c:v>
                </c:pt>
                <c:pt idx="8">
                  <c:v>8.8</c:v>
                </c:pt>
                <c:pt idx="9">
                  <c:v>9.8</c:v>
                </c:pt>
                <c:pt idx="10">
                  <c:v>9.8</c:v>
                </c:pt>
                <c:pt idx="11">
                  <c:v>9.6</c:v>
                </c:pt>
              </c:numCache>
            </c:numRef>
          </c:yVal>
          <c:smooth val="1"/>
        </c:ser>
        <c:axId val="53324385"/>
        <c:axId val="18723416"/>
      </c:scatterChart>
      <c:valAx>
        <c:axId val="5332438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Preço por noite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723416"/>
        <c:crosses val="autoZero"/>
        <c:crossBetween val="midCat"/>
      </c:valAx>
      <c:valAx>
        <c:axId val="187234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Nota (0-10)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2438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Preço estimado por fonte (ida e volta)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Passagens!C3</c:f>
              <c:strCache>
                <c:ptCount val="1"/>
                <c:pt idx="0">
                  <c:v>Preço estimado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Passagens!$A$4:$A$7</c:f>
              <c:strCache>
                <c:ptCount val="4"/>
                <c:pt idx="0">
                  <c:v>Decolar</c:v>
                </c:pt>
                <c:pt idx="1">
                  <c:v>Expedia</c:v>
                </c:pt>
                <c:pt idx="2">
                  <c:v>momondo</c:v>
                </c:pt>
                <c:pt idx="3">
                  <c:v>Trip.com</c:v>
                </c:pt>
              </c:strCache>
            </c:strRef>
          </c:cat>
          <c:val>
            <c:numRef>
              <c:f>Passagens!$C$4:$C$7</c:f>
              <c:numCache>
                <c:formatCode>"R$"#,##0</c:formatCode>
                <c:ptCount val="4"/>
                <c:pt idx="0">
                  <c:v>1228</c:v>
                </c:pt>
                <c:pt idx="1">
                  <c:v>1433</c:v>
                </c:pt>
                <c:pt idx="2">
                  <c:v>1921</c:v>
                </c:pt>
                <c:pt idx="3">
                  <c:v>2418</c:v>
                </c:pt>
              </c:numCache>
            </c:numRef>
          </c:val>
        </c:ser>
        <c:gapWidth val="150"/>
        <c:overlap val="0"/>
        <c:axId val="53599992"/>
        <c:axId val="64683369"/>
      </c:barChart>
      <c:catAx>
        <c:axId val="5359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83369"/>
        <c:crosses val="autoZero"/>
        <c:auto val="1"/>
        <c:lblAlgn val="ctr"/>
        <c:lblOffset val="100"/>
        <c:noMultiLvlLbl val="0"/>
      </c:catAx>
      <c:valAx>
        <c:axId val="646833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999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160560</xdr:rowOff>
    </xdr:from>
    <xdr:to>
      <xdr:col>25</xdr:col>
      <xdr:colOff>78840</xdr:colOff>
      <xdr:row>17</xdr:row>
      <xdr:rowOff>40320</xdr:rowOff>
    </xdr:to>
    <xdr:graphicFrame>
      <xdr:nvGraphicFramePr>
        <xdr:cNvPr id="0" name="Chart 1"/>
        <xdr:cNvGraphicFramePr/>
      </xdr:nvGraphicFramePr>
      <xdr:xfrm>
        <a:off x="10761480" y="3808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19</xdr:row>
      <xdr:rowOff>39600</xdr:rowOff>
    </xdr:from>
    <xdr:to>
      <xdr:col>25</xdr:col>
      <xdr:colOff>78840</xdr:colOff>
      <xdr:row>36</xdr:row>
      <xdr:rowOff>40680</xdr:rowOff>
    </xdr:to>
    <xdr:graphicFrame>
      <xdr:nvGraphicFramePr>
        <xdr:cNvPr id="1" name="Chart 2"/>
        <xdr:cNvGraphicFramePr/>
      </xdr:nvGraphicFramePr>
      <xdr:xfrm>
        <a:off x="10761480" y="40006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18</xdr:col>
      <xdr:colOff>473040</xdr:colOff>
      <xdr:row>16</xdr:row>
      <xdr:rowOff>167400</xdr:rowOff>
    </xdr:to>
    <xdr:graphicFrame>
      <xdr:nvGraphicFramePr>
        <xdr:cNvPr id="2" name="Chart 1"/>
        <xdr:cNvGraphicFramePr/>
      </xdr:nvGraphicFramePr>
      <xdr:xfrm>
        <a:off x="1047924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B7" s="3"/>
      <c r="C7" s="3"/>
      <c r="D7" s="3"/>
      <c r="E7" s="3"/>
      <c r="F7" s="3"/>
      <c r="G7" s="3"/>
      <c r="H7" s="3"/>
    </row>
    <row r="9" customFormat="false" ht="15" hidden="false" customHeight="false" outlineLevel="0" collapsed="false">
      <c r="B9" s="4" t="s">
        <v>3</v>
      </c>
    </row>
    <row r="10" customFormat="false" ht="15" hidden="false" customHeight="false" outlineLevel="0" collapsed="false">
      <c r="B10" s="5" t="s">
        <v>4</v>
      </c>
    </row>
    <row r="11" customFormat="false" ht="15" hidden="false" customHeight="false" outlineLevel="0" collapsed="false">
      <c r="B11" s="5" t="s">
        <v>5</v>
      </c>
    </row>
    <row r="12" customFormat="false" ht="15" hidden="false" customHeight="false" outlineLevel="0" collapsed="false">
      <c r="B12" s="5" t="s">
        <v>6</v>
      </c>
    </row>
    <row r="13" customFormat="false" ht="15" hidden="false" customHeight="false" outlineLevel="0" collapsed="false">
      <c r="B13" s="5" t="s">
        <v>7</v>
      </c>
    </row>
    <row r="15" customFormat="false" ht="15" hidden="false" customHeight="false" outlineLevel="0" collapsed="false">
      <c r="B15" s="4" t="s">
        <v>8</v>
      </c>
    </row>
    <row r="16" customFormat="false" ht="15" hidden="false" customHeight="false" outlineLevel="0" collapsed="false">
      <c r="B16" s="2" t="s">
        <v>9</v>
      </c>
    </row>
    <row r="17" customFormat="false" ht="15" hidden="false" customHeight="false" outlineLevel="0" collapsed="false">
      <c r="B17" s="2" t="s">
        <v>10</v>
      </c>
    </row>
  </sheetData>
  <mergeCells count="1">
    <mergeCell ref="B5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6" t="s">
        <v>11</v>
      </c>
      <c r="B1" s="6"/>
      <c r="C1" s="6"/>
      <c r="D1" s="6"/>
      <c r="E1" s="6"/>
      <c r="F1" s="6"/>
      <c r="G1" s="6"/>
      <c r="H1" s="6"/>
      <c r="I1" s="6"/>
      <c r="J1" s="6"/>
    </row>
    <row r="3" customFormat="false" ht="39.55" hidden="false" customHeight="false" outlineLevel="0" collapsed="false">
      <c r="A3" s="7" t="s">
        <v>12</v>
      </c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</row>
    <row r="4" customFormat="false" ht="15" hidden="false" customHeight="false" outlineLevel="0" collapsed="false">
      <c r="A4" s="8" t="s">
        <v>22</v>
      </c>
      <c r="B4" s="9" t="s">
        <v>23</v>
      </c>
      <c r="C4" s="9" t="s">
        <v>24</v>
      </c>
      <c r="D4" s="10" t="n">
        <v>213</v>
      </c>
      <c r="E4" s="10" t="n">
        <v>1066</v>
      </c>
      <c r="F4" s="9" t="n">
        <v>7</v>
      </c>
      <c r="G4" s="9" t="n">
        <v>19262</v>
      </c>
      <c r="H4" s="9" t="n">
        <v>3</v>
      </c>
      <c r="I4" s="9" t="s">
        <v>25</v>
      </c>
      <c r="J4" s="11" t="n">
        <f aca="false">F4/E4*1000</f>
        <v>6.56660412757974</v>
      </c>
    </row>
    <row r="5" customFormat="false" ht="15" hidden="false" customHeight="false" outlineLevel="0" collapsed="false">
      <c r="A5" s="12" t="s">
        <v>26</v>
      </c>
      <c r="B5" s="13" t="s">
        <v>23</v>
      </c>
      <c r="C5" s="13" t="s">
        <v>24</v>
      </c>
      <c r="D5" s="14" t="n">
        <v>240</v>
      </c>
      <c r="E5" s="14" t="n">
        <v>1202</v>
      </c>
      <c r="F5" s="13" t="n">
        <v>9</v>
      </c>
      <c r="G5" s="13" t="n">
        <v>5967</v>
      </c>
      <c r="H5" s="13" t="n">
        <v>4</v>
      </c>
      <c r="I5" s="13" t="s">
        <v>27</v>
      </c>
      <c r="J5" s="15" t="n">
        <f aca="false">F5/E5*1000</f>
        <v>7.48752079866889</v>
      </c>
    </row>
    <row r="6" customFormat="false" ht="15" hidden="false" customHeight="false" outlineLevel="0" collapsed="false">
      <c r="A6" s="8" t="s">
        <v>28</v>
      </c>
      <c r="B6" s="9" t="s">
        <v>23</v>
      </c>
      <c r="C6" s="9" t="s">
        <v>29</v>
      </c>
      <c r="D6" s="10" t="n">
        <v>250</v>
      </c>
      <c r="E6" s="10" t="n">
        <v>1248</v>
      </c>
      <c r="F6" s="9" t="n">
        <v>8.7</v>
      </c>
      <c r="G6" s="9" t="n">
        <v>1174</v>
      </c>
      <c r="H6" s="9" t="n">
        <v>3</v>
      </c>
      <c r="I6" s="9" t="s">
        <v>30</v>
      </c>
      <c r="J6" s="11" t="n">
        <f aca="false">F6/E6*1000</f>
        <v>6.97115384615385</v>
      </c>
    </row>
    <row r="7" customFormat="false" ht="15" hidden="false" customHeight="false" outlineLevel="0" collapsed="false">
      <c r="A7" s="8" t="s">
        <v>31</v>
      </c>
      <c r="B7" s="9" t="s">
        <v>23</v>
      </c>
      <c r="C7" s="9" t="s">
        <v>29</v>
      </c>
      <c r="D7" s="10" t="n">
        <v>257</v>
      </c>
      <c r="E7" s="10" t="n">
        <v>1285</v>
      </c>
      <c r="F7" s="9" t="n">
        <v>8.3</v>
      </c>
      <c r="G7" s="9" t="n">
        <v>3452</v>
      </c>
      <c r="H7" s="9" t="n">
        <v>3</v>
      </c>
      <c r="I7" s="9" t="s">
        <v>32</v>
      </c>
      <c r="J7" s="11" t="n">
        <f aca="false">F7/E7*1000</f>
        <v>6.4591439688716</v>
      </c>
    </row>
    <row r="8" customFormat="false" ht="15" hidden="false" customHeight="false" outlineLevel="0" collapsed="false">
      <c r="A8" s="8" t="s">
        <v>33</v>
      </c>
      <c r="B8" s="9" t="s">
        <v>23</v>
      </c>
      <c r="C8" s="9" t="s">
        <v>34</v>
      </c>
      <c r="D8" s="10" t="n">
        <v>284</v>
      </c>
      <c r="E8" s="10" t="n">
        <v>1421</v>
      </c>
      <c r="F8" s="9" t="n">
        <v>8.2</v>
      </c>
      <c r="G8" s="9" t="n">
        <v>11666</v>
      </c>
      <c r="H8" s="9" t="n">
        <v>4</v>
      </c>
      <c r="I8" s="9" t="s">
        <v>35</v>
      </c>
      <c r="J8" s="11" t="n">
        <f aca="false">F8/E8*1000</f>
        <v>5.77058409570725</v>
      </c>
    </row>
    <row r="9" customFormat="false" ht="15" hidden="false" customHeight="false" outlineLevel="0" collapsed="false">
      <c r="A9" s="8" t="s">
        <v>36</v>
      </c>
      <c r="B9" s="9" t="s">
        <v>23</v>
      </c>
      <c r="C9" s="9" t="s">
        <v>34</v>
      </c>
      <c r="D9" s="10" t="n">
        <v>445</v>
      </c>
      <c r="E9" s="10" t="n">
        <v>2226</v>
      </c>
      <c r="F9" s="9" t="n">
        <v>9</v>
      </c>
      <c r="G9" s="9" t="n">
        <v>7900</v>
      </c>
      <c r="H9" s="9" t="n">
        <v>4</v>
      </c>
      <c r="I9" s="9" t="s">
        <v>27</v>
      </c>
      <c r="J9" s="11" t="n">
        <f aca="false">F9/E9*1000</f>
        <v>4.04312668463612</v>
      </c>
    </row>
    <row r="10" customFormat="false" ht="15" hidden="false" customHeight="false" outlineLevel="0" collapsed="false">
      <c r="A10" s="8" t="s">
        <v>37</v>
      </c>
      <c r="B10" s="9" t="s">
        <v>38</v>
      </c>
      <c r="C10" s="9" t="s">
        <v>38</v>
      </c>
      <c r="D10" s="10" t="n">
        <v>521</v>
      </c>
      <c r="E10" s="10" t="n">
        <v>2607</v>
      </c>
      <c r="F10" s="9" t="n">
        <v>9.5</v>
      </c>
      <c r="G10" s="9" t="n">
        <v>8</v>
      </c>
      <c r="H10" s="9" t="s">
        <v>39</v>
      </c>
      <c r="I10" s="9" t="s">
        <v>40</v>
      </c>
      <c r="J10" s="11" t="n">
        <f aca="false">F10/E10*1000</f>
        <v>3.64403528960491</v>
      </c>
    </row>
    <row r="11" customFormat="false" ht="15" hidden="false" customHeight="false" outlineLevel="0" collapsed="false">
      <c r="A11" s="8" t="s">
        <v>41</v>
      </c>
      <c r="B11" s="9" t="s">
        <v>23</v>
      </c>
      <c r="C11" s="9" t="s">
        <v>29</v>
      </c>
      <c r="D11" s="10" t="n">
        <v>529</v>
      </c>
      <c r="E11" s="10" t="n">
        <v>2645</v>
      </c>
      <c r="F11" s="9" t="n">
        <v>8.8</v>
      </c>
      <c r="G11" s="9" t="n">
        <v>2510</v>
      </c>
      <c r="H11" s="9" t="n">
        <v>4</v>
      </c>
      <c r="I11" s="9" t="s">
        <v>42</v>
      </c>
      <c r="J11" s="11" t="n">
        <f aca="false">F11/E11*1000</f>
        <v>3.32703213610586</v>
      </c>
    </row>
    <row r="12" customFormat="false" ht="15" hidden="false" customHeight="false" outlineLevel="0" collapsed="false">
      <c r="A12" s="8" t="s">
        <v>43</v>
      </c>
      <c r="B12" s="9" t="s">
        <v>23</v>
      </c>
      <c r="C12" s="9" t="s">
        <v>44</v>
      </c>
      <c r="D12" s="10" t="n">
        <v>614</v>
      </c>
      <c r="E12" s="10" t="n">
        <v>3070</v>
      </c>
      <c r="F12" s="9" t="n">
        <v>8.8</v>
      </c>
      <c r="G12" s="9" t="n">
        <v>7295</v>
      </c>
      <c r="H12" s="9" t="n">
        <v>4</v>
      </c>
      <c r="I12" s="9" t="s">
        <v>45</v>
      </c>
      <c r="J12" s="11" t="n">
        <f aca="false">F12/E12*1000</f>
        <v>2.86644951140065</v>
      </c>
    </row>
    <row r="13" customFormat="false" ht="15" hidden="false" customHeight="false" outlineLevel="0" collapsed="false">
      <c r="A13" s="8" t="s">
        <v>46</v>
      </c>
      <c r="B13" s="9" t="s">
        <v>38</v>
      </c>
      <c r="C13" s="9" t="s">
        <v>38</v>
      </c>
      <c r="D13" s="10" t="n">
        <v>696</v>
      </c>
      <c r="E13" s="10" t="n">
        <v>3480</v>
      </c>
      <c r="F13" s="9" t="n">
        <v>9.8</v>
      </c>
      <c r="G13" s="9" t="n">
        <v>91</v>
      </c>
      <c r="H13" s="9" t="s">
        <v>39</v>
      </c>
      <c r="I13" s="9" t="s">
        <v>47</v>
      </c>
      <c r="J13" s="11" t="n">
        <f aca="false">F13/E13*1000</f>
        <v>2.81609195402299</v>
      </c>
    </row>
    <row r="14" customFormat="false" ht="15" hidden="false" customHeight="false" outlineLevel="0" collapsed="false">
      <c r="A14" s="8" t="s">
        <v>48</v>
      </c>
      <c r="B14" s="9" t="s">
        <v>38</v>
      </c>
      <c r="C14" s="9" t="s">
        <v>38</v>
      </c>
      <c r="D14" s="10" t="n">
        <v>1054</v>
      </c>
      <c r="E14" s="10" t="n">
        <v>5270</v>
      </c>
      <c r="F14" s="9" t="n">
        <v>9.8</v>
      </c>
      <c r="G14" s="9" t="n">
        <v>88</v>
      </c>
      <c r="H14" s="9" t="s">
        <v>39</v>
      </c>
      <c r="I14" s="9" t="s">
        <v>49</v>
      </c>
      <c r="J14" s="11" t="n">
        <f aca="false">F14/E14*1000</f>
        <v>1.8595825426945</v>
      </c>
    </row>
    <row r="15" customFormat="false" ht="15" hidden="false" customHeight="false" outlineLevel="0" collapsed="false">
      <c r="A15" s="8" t="s">
        <v>50</v>
      </c>
      <c r="B15" s="9" t="s">
        <v>38</v>
      </c>
      <c r="C15" s="9" t="s">
        <v>38</v>
      </c>
      <c r="D15" s="10" t="n">
        <v>1179</v>
      </c>
      <c r="E15" s="10" t="n">
        <v>5897</v>
      </c>
      <c r="F15" s="9" t="n">
        <v>9.6</v>
      </c>
      <c r="G15" s="9" t="n">
        <v>136</v>
      </c>
      <c r="H15" s="9" t="s">
        <v>39</v>
      </c>
      <c r="I15" s="9" t="s">
        <v>51</v>
      </c>
      <c r="J15" s="11" t="n">
        <f aca="false">F15/E15*1000</f>
        <v>1.62794641343056</v>
      </c>
    </row>
    <row r="17" customFormat="false" ht="15" hidden="false" customHeight="false" outlineLevel="0" collapsed="false">
      <c r="A17" s="16" t="s">
        <v>52</v>
      </c>
      <c r="B17" s="16"/>
      <c r="C17" s="16"/>
      <c r="D17" s="16"/>
      <c r="E17" s="16"/>
      <c r="F17" s="16"/>
      <c r="G17" s="16"/>
      <c r="H17" s="16"/>
      <c r="I17" s="16"/>
      <c r="J17" s="16"/>
    </row>
  </sheetData>
  <mergeCells count="2">
    <mergeCell ref="A1:J1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6" t="s">
        <v>53</v>
      </c>
      <c r="B1" s="6"/>
      <c r="C1" s="6"/>
      <c r="D1" s="6"/>
      <c r="E1" s="6"/>
      <c r="F1" s="6"/>
      <c r="G1" s="6"/>
    </row>
    <row r="3" customFormat="false" ht="26.85" hidden="false" customHeight="false" outlineLevel="0" collapsed="false">
      <c r="A3" s="7" t="s">
        <v>54</v>
      </c>
      <c r="B3" s="7" t="s">
        <v>55</v>
      </c>
      <c r="C3" s="7" t="s">
        <v>56</v>
      </c>
      <c r="D3" s="7" t="s">
        <v>57</v>
      </c>
      <c r="E3" s="7" t="s">
        <v>58</v>
      </c>
      <c r="F3" s="7" t="s">
        <v>59</v>
      </c>
    </row>
    <row r="4" customFormat="false" ht="15" hidden="false" customHeight="false" outlineLevel="0" collapsed="false">
      <c r="A4" s="17" t="s">
        <v>60</v>
      </c>
      <c r="B4" s="18" t="s">
        <v>61</v>
      </c>
      <c r="C4" s="19" t="n">
        <v>1228</v>
      </c>
      <c r="D4" s="18" t="s">
        <v>62</v>
      </c>
      <c r="E4" s="17" t="s">
        <v>63</v>
      </c>
      <c r="F4" s="20" t="s">
        <v>64</v>
      </c>
    </row>
    <row r="5" customFormat="false" ht="15" hidden="false" customHeight="false" outlineLevel="0" collapsed="false">
      <c r="A5" s="21" t="s">
        <v>65</v>
      </c>
      <c r="B5" s="22" t="s">
        <v>66</v>
      </c>
      <c r="C5" s="23" t="n">
        <v>1433</v>
      </c>
      <c r="D5" s="22" t="s">
        <v>67</v>
      </c>
      <c r="E5" s="21" t="s">
        <v>68</v>
      </c>
      <c r="F5" s="24" t="s">
        <v>69</v>
      </c>
    </row>
    <row r="6" customFormat="false" ht="23.85" hidden="false" customHeight="false" outlineLevel="0" collapsed="false">
      <c r="A6" s="21" t="s">
        <v>70</v>
      </c>
      <c r="B6" s="22" t="s">
        <v>71</v>
      </c>
      <c r="C6" s="23" t="n">
        <v>1921</v>
      </c>
      <c r="D6" s="22" t="s">
        <v>72</v>
      </c>
      <c r="E6" s="21" t="s">
        <v>73</v>
      </c>
      <c r="F6" s="24" t="s">
        <v>74</v>
      </c>
    </row>
    <row r="7" customFormat="false" ht="23.85" hidden="false" customHeight="false" outlineLevel="0" collapsed="false">
      <c r="A7" s="21" t="s">
        <v>75</v>
      </c>
      <c r="B7" s="22" t="s">
        <v>76</v>
      </c>
      <c r="C7" s="23" t="n">
        <v>2418</v>
      </c>
      <c r="D7" s="22" t="s">
        <v>77</v>
      </c>
      <c r="E7" s="21" t="s">
        <v>78</v>
      </c>
      <c r="F7" s="24" t="s">
        <v>79</v>
      </c>
    </row>
    <row r="9" customFormat="false" ht="15" hidden="false" customHeight="false" outlineLevel="0" collapsed="false">
      <c r="A9" s="16" t="s">
        <v>80</v>
      </c>
      <c r="B9" s="16"/>
      <c r="C9" s="16"/>
      <c r="D9" s="16"/>
      <c r="E9" s="16"/>
      <c r="F9" s="16"/>
    </row>
  </sheetData>
  <mergeCells count="2">
    <mergeCell ref="A1:G1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2026-09-23T12:14:09Z</dcterms:created>
  <dc:creator>openpyxl</dc:creator>
  <dc:description/>
  <dc:language>en-US</dc:language>
  <cp:lastModifiedBy/>
  <dcterms:modified xsi:type="dcterms:W3CDTF">2026-09-23T09:14:15Z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